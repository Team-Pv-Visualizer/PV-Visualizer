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91B1872F-A974-EC4D-8E7E-7F1E99E9E627}" xr6:coauthVersionLast="47" xr6:coauthVersionMax="47" xr10:uidLastSave="{00000000-0000-0000-0000-000000000000}"/>
  <bookViews>
    <workbookView xWindow="0" yWindow="740" windowWidth="30240" windowHeight="18900" activeTab="7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3" i="12" l="1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R40" i="12"/>
  <c r="I41" i="12"/>
  <c r="R39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" i="2"/>
  <c r="A17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2" l="1"/>
  <c r="R49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30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<sst xmlns="http://schemas.openxmlformats.org/spreadsheetml/2006/main" count="259" uniqueCount="94">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</sst>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3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D7" sqref="D7:I7"/>
    </sheetView>
  </sheetViews>
  <sheetFormatPr baseColWidth="10" defaultColWidth="8.83203125" defaultRowHeight="15" x14ac:dyDescent="0.2"/>
  <sheetData>
    <row r="1" spans="1:9" x14ac:dyDescent="0.2">
      <c r="A1" s="56"/>
      <c r="B1" s="57"/>
      <c r="C1" s="57"/>
      <c r="D1" s="57"/>
      <c r="E1" s="57"/>
      <c r="F1" s="57"/>
      <c r="G1" s="57"/>
      <c r="H1" s="57"/>
      <c r="I1" s="58"/>
    </row>
    <row r="2" spans="1:9" ht="16" thickBot="1" x14ac:dyDescent="0.25">
      <c r="A2" s="59"/>
      <c r="B2" s="60"/>
      <c r="C2" s="60"/>
      <c r="D2" s="60"/>
      <c r="E2" s="60"/>
      <c r="F2" s="60"/>
      <c r="G2" s="60"/>
      <c r="H2" s="60"/>
      <c r="I2" s="61"/>
    </row>
    <row r="3" spans="1:9" ht="16" thickBot="1" x14ac:dyDescent="0.2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7" thickTop="1" thickBot="1" x14ac:dyDescent="0.25">
      <c r="A4" s="65">
        <f>D9+D12</f>
        <v>1.566666666666666</v>
      </c>
      <c r="B4" s="66"/>
      <c r="C4" s="66"/>
      <c r="D4" s="66"/>
      <c r="E4" s="66"/>
      <c r="F4" s="66"/>
      <c r="G4" s="66"/>
      <c r="H4" s="66"/>
      <c r="I4" s="67"/>
    </row>
    <row r="5" spans="1:9" ht="16" thickBot="1" x14ac:dyDescent="0.25">
      <c r="A5" s="68"/>
      <c r="B5" s="69"/>
      <c r="C5" s="69"/>
      <c r="D5" s="69"/>
      <c r="E5" s="69"/>
      <c r="F5" s="69"/>
      <c r="G5" s="69"/>
      <c r="H5" s="69"/>
      <c r="I5" s="70"/>
    </row>
    <row r="6" spans="1:9" ht="16" thickBot="1" x14ac:dyDescent="0.2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6" thickTop="1" x14ac:dyDescent="0.2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2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2">
      <c r="A9" s="44" t="s">
        <v>4</v>
      </c>
      <c r="B9" s="45"/>
      <c r="C9" s="46"/>
      <c r="D9" s="47">
        <f>'Sprint 1'!I50</f>
        <v>0.87777777777777743</v>
      </c>
      <c r="E9" s="48"/>
      <c r="F9" s="48"/>
      <c r="G9" s="48"/>
      <c r="H9" s="48"/>
      <c r="I9" s="49"/>
    </row>
    <row r="10" spans="1:9" ht="16" thickBot="1" x14ac:dyDescent="0.2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2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6" thickBot="1" x14ac:dyDescent="0.25">
      <c r="A12" s="31" t="s">
        <v>4</v>
      </c>
      <c r="B12" s="32"/>
      <c r="C12" s="33"/>
      <c r="D12" s="34">
        <f>'Sprint 1'!R50</f>
        <v>0.68888888888888866</v>
      </c>
      <c r="E12" s="35"/>
      <c r="F12" s="35"/>
      <c r="G12" s="35"/>
      <c r="H12" s="35"/>
      <c r="I12" s="36"/>
    </row>
    <row r="13" spans="1:9" x14ac:dyDescent="0.2">
      <c r="A13" s="37"/>
      <c r="B13" s="37"/>
      <c r="C13" s="37"/>
      <c r="D13" s="37"/>
      <c r="E13" s="37"/>
      <c r="F13" s="37"/>
      <c r="G13" s="37"/>
      <c r="H13" s="37"/>
      <c r="I13" s="37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/>
      <c r="D3" s="120"/>
      <c r="E3" s="120"/>
      <c r="F3" s="120"/>
      <c r="G3" s="120"/>
      <c r="H3" s="120"/>
      <c r="I3" s="121"/>
      <c r="J3" s="117" t="s">
        <v>6</v>
      </c>
      <c r="K3" s="118"/>
      <c r="L3" s="119"/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/>
      <c r="K12" s="87"/>
      <c r="L12" s="14"/>
      <c r="M12" s="83"/>
      <c r="N12" s="83"/>
      <c r="O12" s="84"/>
      <c r="P12" s="2"/>
      <c r="Q12" s="3"/>
      <c r="R12" s="4">
        <f>Q12-P12</f>
        <v>0</v>
      </c>
    </row>
    <row r="13" spans="1:23" x14ac:dyDescent="0.2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2"/>
      <c r="K13" s="76"/>
      <c r="L13" s="7"/>
      <c r="M13" s="83"/>
      <c r="N13" s="83"/>
      <c r="O13" s="84"/>
      <c r="P13" s="5"/>
      <c r="Q13" s="6"/>
      <c r="R13" s="4">
        <f>Q13-P13</f>
        <v>0</v>
      </c>
    </row>
    <row r="14" spans="1:23" x14ac:dyDescent="0.2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/>
      <c r="K14" s="76"/>
      <c r="L14" s="17"/>
      <c r="M14" s="83"/>
      <c r="N14" s="83"/>
      <c r="O14" s="84"/>
      <c r="P14" s="5"/>
      <c r="Q14" s="6"/>
      <c r="R14" s="4">
        <f t="shared" ref="R14:R40" si="1">Q14-P14</f>
        <v>0</v>
      </c>
    </row>
    <row r="15" spans="1:23" x14ac:dyDescent="0.2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/>
      <c r="K15" s="76"/>
      <c r="L15" s="7"/>
      <c r="M15" s="83"/>
      <c r="N15" s="83"/>
      <c r="O15" s="84"/>
      <c r="P15" s="5"/>
      <c r="Q15" s="6"/>
      <c r="R15" s="4">
        <f t="shared" si="1"/>
        <v>0</v>
      </c>
    </row>
    <row r="16" spans="1:23" x14ac:dyDescent="0.2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/>
      <c r="K16" s="85"/>
      <c r="L16" s="7"/>
      <c r="M16" s="83"/>
      <c r="N16" s="83"/>
      <c r="O16" s="84"/>
      <c r="P16" s="5"/>
      <c r="Q16" s="6"/>
      <c r="R16" s="4">
        <f>Q16-P16</f>
        <v>0</v>
      </c>
    </row>
    <row r="17" spans="1:18" x14ac:dyDescent="0.2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36"/>
  <sheetViews>
    <sheetView zoomScale="115" zoomScaleNormal="115" workbookViewId="0">
      <selection activeCell="D12" sqref="D12:I12"/>
    </sheetView>
  </sheetViews>
  <sheetFormatPr baseColWidth="10" defaultColWidth="8.83203125" defaultRowHeight="15" x14ac:dyDescent="0.2"/>
  <sheetData>
    <row r="1" spans="1:9" ht="14.5" customHeight="1" x14ac:dyDescent="0.2">
      <c r="A1" s="56" t="s">
        <v>71</v>
      </c>
      <c r="B1" s="57"/>
      <c r="C1" s="57"/>
      <c r="D1" s="57"/>
      <c r="E1" s="57"/>
      <c r="F1" s="57"/>
      <c r="G1" s="57"/>
      <c r="H1" s="57"/>
      <c r="I1" s="58"/>
    </row>
    <row r="2" spans="1:9" ht="15" customHeight="1" thickBot="1" x14ac:dyDescent="0.25">
      <c r="A2" s="59"/>
      <c r="B2" s="60"/>
      <c r="C2" s="60"/>
      <c r="D2" s="60"/>
      <c r="E2" s="60"/>
      <c r="F2" s="60"/>
      <c r="G2" s="60"/>
      <c r="H2" s="60"/>
      <c r="I2" s="61"/>
    </row>
    <row r="3" spans="1:9" ht="16" thickBot="1" x14ac:dyDescent="0.2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7" thickTop="1" thickBot="1" x14ac:dyDescent="0.25">
      <c r="A4" s="65">
        <f>D9+D12</f>
        <v>0.97916666666666652</v>
      </c>
      <c r="B4" s="66"/>
      <c r="C4" s="66"/>
      <c r="D4" s="66"/>
      <c r="E4" s="66"/>
      <c r="F4" s="66"/>
      <c r="G4" s="66"/>
      <c r="H4" s="66"/>
      <c r="I4" s="67"/>
    </row>
    <row r="5" spans="1:9" ht="16" thickBot="1" x14ac:dyDescent="0.25">
      <c r="A5" s="68"/>
      <c r="B5" s="69"/>
      <c r="C5" s="69"/>
      <c r="D5" s="69"/>
      <c r="E5" s="69"/>
      <c r="F5" s="69"/>
      <c r="G5" s="69"/>
      <c r="H5" s="69"/>
      <c r="I5" s="70"/>
    </row>
    <row r="6" spans="1:9" ht="16" thickBot="1" x14ac:dyDescent="0.2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6" thickTop="1" x14ac:dyDescent="0.2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2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2">
      <c r="A9" s="44" t="s">
        <v>4</v>
      </c>
      <c r="B9" s="45"/>
      <c r="C9" s="46"/>
      <c r="D9" s="47">
        <v>0.51388888888888884</v>
      </c>
      <c r="E9" s="48"/>
      <c r="F9" s="48"/>
      <c r="G9" s="48"/>
      <c r="H9" s="48"/>
      <c r="I9" s="49"/>
    </row>
    <row r="10" spans="1:9" ht="16" thickBot="1" x14ac:dyDescent="0.2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2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6" thickBot="1" x14ac:dyDescent="0.25">
      <c r="A12" s="31" t="s">
        <v>4</v>
      </c>
      <c r="B12" s="32"/>
      <c r="C12" s="33"/>
      <c r="D12" s="34">
        <v>0.46527777777777773</v>
      </c>
      <c r="E12" s="35"/>
      <c r="F12" s="35"/>
      <c r="G12" s="35"/>
      <c r="H12" s="35"/>
      <c r="I12" s="36"/>
    </row>
    <row r="13" spans="1:9" ht="16" thickBot="1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4.5" customHeight="1" x14ac:dyDescent="0.2">
      <c r="A14" s="56" t="s">
        <v>48</v>
      </c>
      <c r="B14" s="57"/>
      <c r="C14" s="57"/>
      <c r="D14" s="57"/>
      <c r="E14" s="57"/>
      <c r="F14" s="57"/>
      <c r="G14" s="57"/>
      <c r="H14" s="57"/>
      <c r="I14" s="58"/>
    </row>
    <row r="15" spans="1:9" ht="15" customHeight="1" thickBot="1" x14ac:dyDescent="0.25">
      <c r="A15" s="59"/>
      <c r="B15" s="60"/>
      <c r="C15" s="60"/>
      <c r="D15" s="60"/>
      <c r="E15" s="60"/>
      <c r="F15" s="60"/>
      <c r="G15" s="60"/>
      <c r="H15" s="60"/>
      <c r="I15" s="61"/>
    </row>
    <row r="16" spans="1:9" ht="16" thickBot="1" x14ac:dyDescent="0.25">
      <c r="A16" s="62" t="s">
        <v>45</v>
      </c>
      <c r="B16" s="63"/>
      <c r="C16" s="63"/>
      <c r="D16" s="63"/>
      <c r="E16" s="63"/>
      <c r="F16" s="63"/>
      <c r="G16" s="63"/>
      <c r="H16" s="63"/>
      <c r="I16" s="64"/>
    </row>
    <row r="17" spans="1:9" ht="17" thickTop="1" thickBot="1" x14ac:dyDescent="0.25">
      <c r="A17" s="65">
        <f>D22+D25</f>
        <v>1.2340277777777779</v>
      </c>
      <c r="B17" s="66"/>
      <c r="C17" s="66"/>
      <c r="D17" s="66"/>
      <c r="E17" s="66"/>
      <c r="F17" s="66"/>
      <c r="G17" s="66"/>
      <c r="H17" s="66"/>
      <c r="I17" s="67"/>
    </row>
    <row r="18" spans="1:9" ht="16" thickBot="1" x14ac:dyDescent="0.25">
      <c r="A18" s="68"/>
      <c r="B18" s="69"/>
      <c r="C18" s="69"/>
      <c r="D18" s="69"/>
      <c r="E18" s="69"/>
      <c r="F18" s="69"/>
      <c r="G18" s="69"/>
      <c r="H18" s="69"/>
      <c r="I18" s="70"/>
    </row>
    <row r="19" spans="1:9" ht="16" thickBot="1" x14ac:dyDescent="0.25">
      <c r="A19" s="62" t="s">
        <v>1</v>
      </c>
      <c r="B19" s="63"/>
      <c r="C19" s="63"/>
      <c r="D19" s="63"/>
      <c r="E19" s="63"/>
      <c r="F19" s="63"/>
      <c r="G19" s="63"/>
      <c r="H19" s="63"/>
      <c r="I19" s="64"/>
    </row>
    <row r="20" spans="1:9" ht="16" thickTop="1" x14ac:dyDescent="0.2">
      <c r="A20" s="53"/>
      <c r="B20" s="54"/>
      <c r="C20" s="55"/>
      <c r="D20" s="53"/>
      <c r="E20" s="54"/>
      <c r="F20" s="54"/>
      <c r="G20" s="54"/>
      <c r="H20" s="54"/>
      <c r="I20" s="55"/>
    </row>
    <row r="21" spans="1:9" x14ac:dyDescent="0.2">
      <c r="A21" s="38" t="s">
        <v>2</v>
      </c>
      <c r="B21" s="39"/>
      <c r="C21" s="40"/>
      <c r="D21" s="41" t="s">
        <v>3</v>
      </c>
      <c r="E21" s="42"/>
      <c r="F21" s="42"/>
      <c r="G21" s="42"/>
      <c r="H21" s="42"/>
      <c r="I21" s="43"/>
    </row>
    <row r="22" spans="1:9" x14ac:dyDescent="0.2">
      <c r="A22" s="44" t="s">
        <v>4</v>
      </c>
      <c r="B22" s="45"/>
      <c r="C22" s="46"/>
      <c r="D22" s="47">
        <v>0.80347222222222248</v>
      </c>
      <c r="E22" s="48"/>
      <c r="F22" s="48"/>
      <c r="G22" s="48"/>
      <c r="H22" s="48"/>
      <c r="I22" s="49"/>
    </row>
    <row r="23" spans="1:9" ht="16" thickBot="1" x14ac:dyDescent="0.25">
      <c r="A23" s="50"/>
      <c r="B23" s="51"/>
      <c r="C23" s="52"/>
      <c r="D23" s="50"/>
      <c r="E23" s="51"/>
      <c r="F23" s="51"/>
      <c r="G23" s="51"/>
      <c r="H23" s="51"/>
      <c r="I23" s="52"/>
    </row>
    <row r="24" spans="1:9" x14ac:dyDescent="0.2">
      <c r="A24" s="25" t="s">
        <v>2</v>
      </c>
      <c r="B24" s="26"/>
      <c r="C24" s="27"/>
      <c r="D24" s="28" t="s">
        <v>5</v>
      </c>
      <c r="E24" s="29"/>
      <c r="F24" s="29"/>
      <c r="G24" s="29"/>
      <c r="H24" s="29"/>
      <c r="I24" s="30"/>
    </row>
    <row r="25" spans="1:9" ht="16" thickBot="1" x14ac:dyDescent="0.25">
      <c r="A25" s="31" t="s">
        <v>4</v>
      </c>
      <c r="B25" s="32"/>
      <c r="C25" s="33"/>
      <c r="D25" s="34">
        <v>0.43055555555555552</v>
      </c>
      <c r="E25" s="35"/>
      <c r="F25" s="35"/>
      <c r="G25" s="35"/>
      <c r="H25" s="35"/>
      <c r="I25" s="36"/>
    </row>
    <row r="26" spans="1:9" ht="16" thickBot="1" x14ac:dyDescent="0.25">
      <c r="A26" s="37"/>
      <c r="B26" s="37"/>
      <c r="C26" s="37"/>
      <c r="D26" s="37"/>
      <c r="E26" s="37"/>
      <c r="F26" s="37"/>
      <c r="G26" s="37"/>
      <c r="H26" s="37"/>
      <c r="I26" s="37"/>
    </row>
    <row r="27" spans="1:9" ht="14.5" customHeight="1" x14ac:dyDescent="0.2">
      <c r="A27" s="56" t="s">
        <v>0</v>
      </c>
      <c r="B27" s="57"/>
      <c r="C27" s="57"/>
      <c r="D27" s="57"/>
      <c r="E27" s="57"/>
      <c r="F27" s="57"/>
      <c r="G27" s="57"/>
      <c r="H27" s="57"/>
      <c r="I27" s="58"/>
    </row>
    <row r="28" spans="1:9" ht="15" customHeight="1" thickBot="1" x14ac:dyDescent="0.25">
      <c r="A28" s="59"/>
      <c r="B28" s="60"/>
      <c r="C28" s="60"/>
      <c r="D28" s="60"/>
      <c r="E28" s="60"/>
      <c r="F28" s="60"/>
      <c r="G28" s="60"/>
      <c r="H28" s="60"/>
      <c r="I28" s="61"/>
    </row>
    <row r="29" spans="1:9" ht="16" thickBot="1" x14ac:dyDescent="0.25">
      <c r="A29" s="62" t="s">
        <v>45</v>
      </c>
      <c r="B29" s="63"/>
      <c r="C29" s="63"/>
      <c r="D29" s="63"/>
      <c r="E29" s="63"/>
      <c r="F29" s="63"/>
      <c r="G29" s="63"/>
      <c r="H29" s="63"/>
      <c r="I29" s="64"/>
    </row>
    <row r="30" spans="1:9" ht="17" thickTop="1" thickBot="1" x14ac:dyDescent="0.25">
      <c r="A30" s="65">
        <f>D35+D38</f>
        <v>1.566666666666666</v>
      </c>
      <c r="B30" s="66"/>
      <c r="C30" s="66"/>
      <c r="D30" s="66"/>
      <c r="E30" s="66"/>
      <c r="F30" s="66"/>
      <c r="G30" s="66"/>
      <c r="H30" s="66"/>
      <c r="I30" s="67"/>
    </row>
    <row r="31" spans="1:9" ht="16" thickBot="1" x14ac:dyDescent="0.25">
      <c r="A31" s="68"/>
      <c r="B31" s="69"/>
      <c r="C31" s="69"/>
      <c r="D31" s="69"/>
      <c r="E31" s="69"/>
      <c r="F31" s="69"/>
      <c r="G31" s="69"/>
      <c r="H31" s="69"/>
      <c r="I31" s="70"/>
    </row>
    <row r="32" spans="1:9" ht="16" thickBot="1" x14ac:dyDescent="0.25">
      <c r="A32" s="62" t="s">
        <v>1</v>
      </c>
      <c r="B32" s="63"/>
      <c r="C32" s="63"/>
      <c r="D32" s="63"/>
      <c r="E32" s="63"/>
      <c r="F32" s="63"/>
      <c r="G32" s="63"/>
      <c r="H32" s="63"/>
      <c r="I32" s="64"/>
    </row>
    <row r="33" spans="1:9" ht="16" thickTop="1" x14ac:dyDescent="0.2">
      <c r="A33" s="53"/>
      <c r="B33" s="54"/>
      <c r="C33" s="55"/>
      <c r="D33" s="53"/>
      <c r="E33" s="54"/>
      <c r="F33" s="54"/>
      <c r="G33" s="54"/>
      <c r="H33" s="54"/>
      <c r="I33" s="55"/>
    </row>
    <row r="34" spans="1:9" x14ac:dyDescent="0.2">
      <c r="A34" s="38" t="s">
        <v>2</v>
      </c>
      <c r="B34" s="39"/>
      <c r="C34" s="40"/>
      <c r="D34" s="41" t="s">
        <v>3</v>
      </c>
      <c r="E34" s="42"/>
      <c r="F34" s="42"/>
      <c r="G34" s="42"/>
      <c r="H34" s="42"/>
      <c r="I34" s="43"/>
    </row>
    <row r="35" spans="1:9" x14ac:dyDescent="0.2">
      <c r="A35" s="44" t="s">
        <v>4</v>
      </c>
      <c r="B35" s="45"/>
      <c r="C35" s="46"/>
      <c r="D35" s="47">
        <v>0.87777777777777743</v>
      </c>
      <c r="E35" s="48"/>
      <c r="F35" s="48"/>
      <c r="G35" s="48"/>
      <c r="H35" s="48"/>
      <c r="I35" s="49"/>
    </row>
    <row r="36" spans="1:9" ht="16" thickBot="1" x14ac:dyDescent="0.25">
      <c r="A36" s="50"/>
      <c r="B36" s="51"/>
      <c r="C36" s="52"/>
      <c r="D36" s="50"/>
      <c r="E36" s="51"/>
      <c r="F36" s="51"/>
      <c r="G36" s="51"/>
      <c r="H36" s="51"/>
      <c r="I36" s="52"/>
    </row>
    <row r="37" spans="1:9" x14ac:dyDescent="0.2">
      <c r="A37" s="25" t="s">
        <v>2</v>
      </c>
      <c r="B37" s="26"/>
      <c r="C37" s="27"/>
      <c r="D37" s="28" t="s">
        <v>5</v>
      </c>
      <c r="E37" s="29"/>
      <c r="F37" s="29"/>
      <c r="G37" s="29"/>
      <c r="H37" s="29"/>
      <c r="I37" s="30"/>
    </row>
    <row r="38" spans="1:9" ht="16" thickBot="1" x14ac:dyDescent="0.25">
      <c r="A38" s="31" t="s">
        <v>4</v>
      </c>
      <c r="B38" s="32"/>
      <c r="C38" s="33"/>
      <c r="D38" s="34">
        <v>0.68888888888888866</v>
      </c>
      <c r="E38" s="35"/>
      <c r="F38" s="35"/>
      <c r="G38" s="35"/>
      <c r="H38" s="35"/>
      <c r="I38" s="36"/>
    </row>
    <row r="39" spans="1:9" x14ac:dyDescent="0.2">
      <c r="A39" s="37"/>
      <c r="B39" s="37"/>
      <c r="C39" s="37"/>
      <c r="D39" s="37"/>
      <c r="E39" s="37"/>
      <c r="F39" s="37"/>
      <c r="G39" s="37"/>
      <c r="H39" s="37"/>
      <c r="I39" s="37"/>
    </row>
    <row r="40" spans="1:9" ht="15" customHeight="1" x14ac:dyDescent="0.2"/>
    <row r="41" spans="1:9" ht="15.75" customHeight="1" x14ac:dyDescent="0.2"/>
    <row r="53" ht="15" customHeight="1" x14ac:dyDescent="0.2"/>
    <row r="54" ht="15.7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209" ht="14.5" customHeight="1" x14ac:dyDescent="0.2"/>
    <row r="210" ht="15" customHeight="1" x14ac:dyDescent="0.2"/>
    <row r="222" ht="14.5" customHeight="1" x14ac:dyDescent="0.2"/>
    <row r="223" ht="15" customHeight="1" x14ac:dyDescent="0.2"/>
    <row r="235" ht="14.5" customHeight="1" x14ac:dyDescent="0.2"/>
    <row r="236" ht="15" customHeight="1" x14ac:dyDescent="0.2"/>
  </sheetData>
  <mergeCells count="54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37:C37"/>
    <mergeCell ref="D37:I37"/>
    <mergeCell ref="A38:C38"/>
    <mergeCell ref="D38:I38"/>
    <mergeCell ref="A39:I39"/>
    <mergeCell ref="A34:C34"/>
    <mergeCell ref="D34:I34"/>
    <mergeCell ref="A35:C35"/>
    <mergeCell ref="D35:I35"/>
    <mergeCell ref="A36:C36"/>
    <mergeCell ref="D36:I36"/>
    <mergeCell ref="A33:C33"/>
    <mergeCell ref="D33:I33"/>
    <mergeCell ref="A27:I28"/>
    <mergeCell ref="A29:I29"/>
    <mergeCell ref="A30:I30"/>
    <mergeCell ref="A31:I31"/>
    <mergeCell ref="A32:I3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114" t="s">
        <v>46</v>
      </c>
      <c r="B1" s="114"/>
      <c r="C1" s="114"/>
      <c r="D1" s="114"/>
      <c r="E1" s="114"/>
      <c r="F1" s="114"/>
      <c r="G1" s="114"/>
      <c r="H1" s="114"/>
      <c r="I1" s="114"/>
    </row>
    <row r="2" spans="1:9" x14ac:dyDescent="0.2">
      <c r="A2" s="114"/>
      <c r="B2" s="114"/>
      <c r="C2" s="114"/>
      <c r="D2" s="114"/>
      <c r="E2" s="114"/>
      <c r="F2" s="114"/>
      <c r="G2" s="114"/>
      <c r="H2" s="114"/>
      <c r="I2" s="114"/>
    </row>
    <row r="3" spans="1:9" x14ac:dyDescent="0.2">
      <c r="A3" s="115"/>
      <c r="B3" s="115"/>
      <c r="C3" s="115"/>
      <c r="D3" s="115"/>
      <c r="E3" s="115"/>
      <c r="F3" s="115"/>
      <c r="G3" s="115"/>
      <c r="H3" s="115"/>
      <c r="I3" s="115"/>
    </row>
    <row r="4" spans="1:9" x14ac:dyDescent="0.2">
      <c r="A4" s="115"/>
      <c r="B4" s="115"/>
      <c r="C4" s="115"/>
      <c r="D4" s="115"/>
      <c r="E4" s="115"/>
      <c r="F4" s="115"/>
      <c r="G4" s="115"/>
      <c r="H4" s="115"/>
      <c r="I4" s="115"/>
    </row>
    <row r="5" spans="1:9" x14ac:dyDescent="0.2">
      <c r="A5" s="115"/>
      <c r="B5" s="115"/>
      <c r="C5" s="115"/>
      <c r="D5" s="115"/>
      <c r="E5" s="115"/>
      <c r="F5" s="115"/>
      <c r="G5" s="115"/>
      <c r="H5" s="115"/>
      <c r="I5" s="115"/>
    </row>
    <row r="6" spans="1:9" x14ac:dyDescent="0.2">
      <c r="A6" s="115"/>
      <c r="B6" s="115"/>
      <c r="C6" s="115"/>
      <c r="D6" s="115"/>
      <c r="E6" s="115"/>
      <c r="F6" s="115"/>
      <c r="G6" s="115"/>
      <c r="H6" s="115"/>
      <c r="I6" s="115"/>
    </row>
    <row r="7" spans="1:9" x14ac:dyDescent="0.2">
      <c r="A7" s="115"/>
      <c r="B7" s="115"/>
      <c r="C7" s="115"/>
      <c r="D7" s="115"/>
      <c r="E7" s="115"/>
      <c r="F7" s="115"/>
      <c r="G7" s="115"/>
      <c r="H7" s="115"/>
      <c r="I7" s="115"/>
    </row>
    <row r="8" spans="1:9" x14ac:dyDescent="0.2">
      <c r="A8" s="115"/>
      <c r="B8" s="115"/>
      <c r="C8" s="115"/>
      <c r="D8" s="115"/>
      <c r="E8" s="115"/>
      <c r="F8" s="115"/>
      <c r="G8" s="115"/>
      <c r="H8" s="115"/>
      <c r="I8" s="115"/>
    </row>
    <row r="9" spans="1:9" x14ac:dyDescent="0.2">
      <c r="A9" s="115"/>
      <c r="B9" s="115"/>
      <c r="C9" s="115"/>
      <c r="D9" s="115"/>
      <c r="E9" s="115"/>
      <c r="F9" s="115"/>
      <c r="G9" s="115"/>
      <c r="H9" s="115"/>
      <c r="I9" s="115"/>
    </row>
    <row r="10" spans="1:9" x14ac:dyDescent="0.2">
      <c r="A10" s="115"/>
      <c r="B10" s="115"/>
      <c r="C10" s="115"/>
      <c r="D10" s="115"/>
      <c r="E10" s="115"/>
      <c r="F10" s="115"/>
      <c r="G10" s="115"/>
      <c r="H10" s="115"/>
      <c r="I10" s="115"/>
    </row>
    <row r="11" spans="1:9" x14ac:dyDescent="0.2">
      <c r="A11" s="115"/>
      <c r="B11" s="115"/>
      <c r="C11" s="115"/>
      <c r="D11" s="115"/>
      <c r="E11" s="115"/>
      <c r="F11" s="115"/>
      <c r="G11" s="115"/>
      <c r="H11" s="115"/>
      <c r="I11" s="115"/>
    </row>
    <row r="12" spans="1:9" x14ac:dyDescent="0.2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x14ac:dyDescent="0.2">
      <c r="A13" s="115"/>
      <c r="B13" s="115"/>
      <c r="C13" s="115"/>
      <c r="D13" s="115"/>
      <c r="E13" s="115"/>
      <c r="F13" s="115"/>
      <c r="G13" s="115"/>
      <c r="H13" s="115"/>
      <c r="I13" s="115"/>
    </row>
    <row r="14" spans="1:9" x14ac:dyDescent="0.2">
      <c r="A14" s="115"/>
      <c r="B14" s="115"/>
      <c r="C14" s="115"/>
      <c r="D14" s="115"/>
      <c r="E14" s="115"/>
      <c r="F14" s="115"/>
      <c r="G14" s="115"/>
      <c r="H14" s="115"/>
      <c r="I14" s="115"/>
    </row>
    <row r="15" spans="1:9" x14ac:dyDescent="0.2">
      <c r="A15" s="115"/>
      <c r="B15" s="115"/>
      <c r="C15" s="115"/>
      <c r="D15" s="115"/>
      <c r="E15" s="115"/>
      <c r="F15" s="115"/>
      <c r="G15" s="115"/>
      <c r="H15" s="115"/>
      <c r="I15" s="115"/>
    </row>
    <row r="16" spans="1:9" x14ac:dyDescent="0.2">
      <c r="A16" s="115"/>
      <c r="B16" s="115"/>
      <c r="C16" s="115"/>
      <c r="D16" s="115"/>
      <c r="E16" s="115"/>
      <c r="F16" s="115"/>
      <c r="G16" s="115"/>
      <c r="H16" s="115"/>
      <c r="I16" s="115"/>
    </row>
    <row r="17" spans="1:9" x14ac:dyDescent="0.2">
      <c r="A17" s="115"/>
      <c r="B17" s="115"/>
      <c r="C17" s="115"/>
      <c r="D17" s="115"/>
      <c r="E17" s="115"/>
      <c r="F17" s="115"/>
      <c r="G17" s="115"/>
      <c r="H17" s="115"/>
      <c r="I17" s="115"/>
    </row>
    <row r="18" spans="1:9" x14ac:dyDescent="0.2">
      <c r="A18" s="115"/>
      <c r="B18" s="115"/>
      <c r="C18" s="115"/>
      <c r="D18" s="115"/>
      <c r="E18" s="115"/>
      <c r="F18" s="115"/>
      <c r="G18" s="115"/>
      <c r="H18" s="115"/>
      <c r="I18" s="115"/>
    </row>
    <row r="19" spans="1:9" x14ac:dyDescent="0.2">
      <c r="A19" s="115"/>
      <c r="B19" s="115"/>
      <c r="C19" s="115"/>
      <c r="D19" s="115"/>
      <c r="E19" s="115"/>
      <c r="F19" s="115"/>
      <c r="G19" s="115"/>
      <c r="H19" s="115"/>
      <c r="I19" s="115"/>
    </row>
    <row r="20" spans="1:9" x14ac:dyDescent="0.2">
      <c r="A20" s="115"/>
      <c r="B20" s="115"/>
      <c r="C20" s="115"/>
      <c r="D20" s="115"/>
      <c r="E20" s="115"/>
      <c r="F20" s="115"/>
      <c r="G20" s="115"/>
      <c r="H20" s="115"/>
      <c r="I20" s="115"/>
    </row>
    <row r="21" spans="1:9" x14ac:dyDescent="0.2">
      <c r="A21" s="115"/>
      <c r="B21" s="115"/>
      <c r="C21" s="115"/>
      <c r="D21" s="115"/>
      <c r="E21" s="115"/>
      <c r="F21" s="115"/>
      <c r="G21" s="115"/>
      <c r="H21" s="115"/>
      <c r="I21" s="115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 t="s">
        <v>42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41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14</v>
      </c>
      <c r="B12" s="87"/>
      <c r="C12" s="14"/>
      <c r="D12" s="88" t="s">
        <v>15</v>
      </c>
      <c r="E12" s="88"/>
      <c r="F12" s="89"/>
      <c r="G12" s="2">
        <v>0.5</v>
      </c>
      <c r="H12" s="3">
        <v>0.56597222222222221</v>
      </c>
      <c r="I12" s="4">
        <f>H12-G12</f>
        <v>6.597222222222221E-2</v>
      </c>
      <c r="J12" s="86">
        <v>44852</v>
      </c>
      <c r="K12" s="87"/>
      <c r="L12" s="14"/>
      <c r="M12" s="83" t="s">
        <v>16</v>
      </c>
      <c r="N12" s="83"/>
      <c r="O12" s="84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82" t="s">
        <v>17</v>
      </c>
      <c r="B13" s="76"/>
      <c r="C13" s="7"/>
      <c r="D13" s="83" t="s">
        <v>18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44853</v>
      </c>
      <c r="K13" s="76"/>
      <c r="L13" s="7"/>
      <c r="M13" s="83" t="s">
        <v>19</v>
      </c>
      <c r="N13" s="83"/>
      <c r="O13" s="84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82" t="s">
        <v>17</v>
      </c>
      <c r="B14" s="76"/>
      <c r="C14" s="7"/>
      <c r="D14" s="83" t="s">
        <v>20</v>
      </c>
      <c r="E14" s="83"/>
      <c r="F14" s="84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2">
        <v>44853</v>
      </c>
      <c r="K14" s="76"/>
      <c r="L14" s="17"/>
      <c r="M14" s="83" t="s">
        <v>21</v>
      </c>
      <c r="N14" s="83"/>
      <c r="O14" s="84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82" t="s">
        <v>22</v>
      </c>
      <c r="B15" s="76"/>
      <c r="C15" s="7"/>
      <c r="D15" s="83" t="s">
        <v>23</v>
      </c>
      <c r="E15" s="83"/>
      <c r="F15" s="84"/>
      <c r="G15" s="5">
        <v>0.33333333333333331</v>
      </c>
      <c r="H15" s="6">
        <v>0.4513888888888889</v>
      </c>
      <c r="I15" s="4">
        <f t="shared" si="0"/>
        <v>0.11805555555555558</v>
      </c>
      <c r="J15" s="82">
        <v>44854</v>
      </c>
      <c r="K15" s="76"/>
      <c r="L15" s="7"/>
      <c r="M15" s="83" t="s">
        <v>24</v>
      </c>
      <c r="N15" s="83"/>
      <c r="O15" s="84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82" t="s">
        <v>25</v>
      </c>
      <c r="B16" s="76"/>
      <c r="C16" s="7"/>
      <c r="D16" s="83" t="s">
        <v>26</v>
      </c>
      <c r="E16" s="83"/>
      <c r="F16" s="84"/>
      <c r="G16" s="5">
        <v>0.36805555555555558</v>
      </c>
      <c r="H16" s="6">
        <v>0.4513888888888889</v>
      </c>
      <c r="I16" s="4">
        <f t="shared" si="0"/>
        <v>8.3333333333333315E-2</v>
      </c>
      <c r="J16" s="82">
        <v>44855</v>
      </c>
      <c r="K16" s="85"/>
      <c r="L16" s="7"/>
      <c r="M16" s="83" t="s">
        <v>27</v>
      </c>
      <c r="N16" s="83"/>
      <c r="O16" s="84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82" t="s">
        <v>28</v>
      </c>
      <c r="B17" s="76"/>
      <c r="C17" s="7"/>
      <c r="D17" s="83" t="s">
        <v>29</v>
      </c>
      <c r="E17" s="83"/>
      <c r="F17" s="84"/>
      <c r="G17" s="5">
        <v>0.77083333333333337</v>
      </c>
      <c r="H17" s="6">
        <v>0.85416666666666663</v>
      </c>
      <c r="I17" s="4">
        <f t="shared" si="0"/>
        <v>8.3333333333333259E-2</v>
      </c>
      <c r="J17" s="82">
        <v>44877</v>
      </c>
      <c r="K17" s="76"/>
      <c r="L17" s="7"/>
      <c r="M17" s="83" t="s">
        <v>30</v>
      </c>
      <c r="N17" s="83"/>
      <c r="O17" s="84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82" t="s">
        <v>28</v>
      </c>
      <c r="B18" s="76"/>
      <c r="C18" s="7"/>
      <c r="D18" s="83" t="s">
        <v>31</v>
      </c>
      <c r="E18" s="83"/>
      <c r="F18" s="84"/>
      <c r="G18" s="5">
        <v>0.85416666666666663</v>
      </c>
      <c r="H18" s="6">
        <v>0.89583333333333337</v>
      </c>
      <c r="I18" s="4">
        <f t="shared" si="0"/>
        <v>4.1666666666666741E-2</v>
      </c>
      <c r="J18" s="82">
        <v>44846</v>
      </c>
      <c r="K18" s="76"/>
      <c r="L18" s="7"/>
      <c r="M18" s="83" t="s">
        <v>32</v>
      </c>
      <c r="N18" s="83"/>
      <c r="O18" s="84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82">
        <v>44878</v>
      </c>
      <c r="B19" s="76"/>
      <c r="C19" s="7"/>
      <c r="D19" s="83" t="s">
        <v>33</v>
      </c>
      <c r="E19" s="83"/>
      <c r="F19" s="84"/>
      <c r="G19" s="5">
        <v>0.33333333333333331</v>
      </c>
      <c r="H19" s="6">
        <v>0.48958333333333331</v>
      </c>
      <c r="I19" s="4">
        <f t="shared" si="0"/>
        <v>0.15625</v>
      </c>
      <c r="J19" s="82">
        <v>44878</v>
      </c>
      <c r="K19" s="76"/>
      <c r="L19" s="7"/>
      <c r="M19" s="83" t="s">
        <v>34</v>
      </c>
      <c r="N19" s="83"/>
      <c r="O19" s="84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82" t="s">
        <v>35</v>
      </c>
      <c r="B20" s="76"/>
      <c r="C20" s="7"/>
      <c r="D20" s="83" t="s">
        <v>36</v>
      </c>
      <c r="E20" s="83"/>
      <c r="F20" s="84"/>
      <c r="G20" s="5">
        <v>0.41666666666666669</v>
      </c>
      <c r="H20" s="6">
        <v>0.5</v>
      </c>
      <c r="I20" s="4">
        <f t="shared" si="0"/>
        <v>8.3333333333333315E-2</v>
      </c>
      <c r="J20" s="82">
        <v>44879</v>
      </c>
      <c r="K20" s="76"/>
      <c r="L20" s="7"/>
      <c r="M20" s="83" t="s">
        <v>37</v>
      </c>
      <c r="N20" s="83"/>
      <c r="O20" s="84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82" t="s">
        <v>39</v>
      </c>
      <c r="B21" s="76"/>
      <c r="C21" s="7"/>
      <c r="D21" s="83" t="s">
        <v>40</v>
      </c>
      <c r="E21" s="83"/>
      <c r="F21" s="84"/>
      <c r="G21" s="5">
        <v>0.36805555555555558</v>
      </c>
      <c r="H21" s="6">
        <v>0.44722222222222219</v>
      </c>
      <c r="I21" s="4">
        <f t="shared" si="0"/>
        <v>7.9166666666666607E-2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 t="s">
        <v>39</v>
      </c>
      <c r="B22" s="76"/>
      <c r="C22" s="7"/>
      <c r="D22" s="76" t="s">
        <v>47</v>
      </c>
      <c r="E22" s="76"/>
      <c r="F22" s="77"/>
      <c r="G22" s="5">
        <v>0.45833333333333331</v>
      </c>
      <c r="H22" s="6">
        <v>0.47916666666666669</v>
      </c>
      <c r="I22" s="4">
        <f t="shared" si="0"/>
        <v>2.083333333333337E-2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0.87777777777777743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0.68888888888888866</v>
      </c>
    </row>
    <row r="51" spans="1:18" ht="16" thickTop="1" x14ac:dyDescent="0.2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114" t="s">
        <v>48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 t="s">
        <v>49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49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50</v>
      </c>
      <c r="B12" s="87"/>
      <c r="C12" s="14"/>
      <c r="D12" s="88" t="s">
        <v>51</v>
      </c>
      <c r="E12" s="88"/>
      <c r="F12" s="89"/>
      <c r="G12" s="2">
        <v>0.33333333333333331</v>
      </c>
      <c r="H12" s="3">
        <v>0.5</v>
      </c>
      <c r="I12" s="4">
        <f>H12-G12</f>
        <v>0.16666666666666669</v>
      </c>
      <c r="J12" s="82">
        <v>44881</v>
      </c>
      <c r="K12" s="76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82">
        <v>44881</v>
      </c>
      <c r="B13" s="76"/>
      <c r="C13" s="7"/>
      <c r="D13" s="83" t="s">
        <v>52</v>
      </c>
      <c r="E13" s="83"/>
      <c r="F13" s="84"/>
      <c r="G13" s="5">
        <v>0.6166666666666667</v>
      </c>
      <c r="H13" s="6">
        <v>0.71597222222222223</v>
      </c>
      <c r="I13" s="20">
        <f>H13-G13</f>
        <v>9.9305555555555536E-2</v>
      </c>
      <c r="J13" s="82">
        <v>44891</v>
      </c>
      <c r="K13" s="77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82" t="s">
        <v>53</v>
      </c>
      <c r="B14" s="76"/>
      <c r="C14" s="7"/>
      <c r="D14" s="83" t="s">
        <v>54</v>
      </c>
      <c r="E14" s="83"/>
      <c r="F14" s="84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2">
        <v>44892</v>
      </c>
      <c r="K14" s="77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82" t="s">
        <v>53</v>
      </c>
      <c r="B15" s="76"/>
      <c r="C15" s="7"/>
      <c r="D15" s="83" t="s">
        <v>55</v>
      </c>
      <c r="E15" s="83"/>
      <c r="F15" s="84"/>
      <c r="G15" s="5">
        <v>0.53611111111111109</v>
      </c>
      <c r="H15" s="6">
        <v>0.56597222222222221</v>
      </c>
      <c r="I15" s="4">
        <f t="shared" si="0"/>
        <v>2.9861111111111116E-2</v>
      </c>
      <c r="J15" s="82">
        <v>44893</v>
      </c>
      <c r="K15" s="77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82" t="s">
        <v>53</v>
      </c>
      <c r="B16" s="76"/>
      <c r="C16" s="7"/>
      <c r="D16" s="83" t="s">
        <v>56</v>
      </c>
      <c r="E16" s="83"/>
      <c r="F16" s="84"/>
      <c r="G16" s="5">
        <v>0.56944444444444442</v>
      </c>
      <c r="H16" s="6">
        <v>0.60902777777777783</v>
      </c>
      <c r="I16" s="4">
        <f t="shared" si="0"/>
        <v>3.9583333333333415E-2</v>
      </c>
      <c r="J16" s="82">
        <v>44893</v>
      </c>
      <c r="K16" s="77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82" t="s">
        <v>57</v>
      </c>
      <c r="B17" s="76"/>
      <c r="C17" s="7"/>
      <c r="D17" s="83" t="s">
        <v>58</v>
      </c>
      <c r="E17" s="83"/>
      <c r="F17" s="84"/>
      <c r="G17" s="5">
        <v>0.5</v>
      </c>
      <c r="H17" s="6">
        <v>0.53819444444444442</v>
      </c>
      <c r="I17" s="4">
        <f t="shared" si="0"/>
        <v>3.819444444444442E-2</v>
      </c>
      <c r="J17" s="82"/>
      <c r="K17" s="76"/>
      <c r="L17" s="7"/>
      <c r="M17" s="83"/>
      <c r="N17" s="83"/>
      <c r="O17" s="84"/>
      <c r="P17" s="5"/>
      <c r="Q17" s="6"/>
      <c r="R17" s="4">
        <f>Q17-P17</f>
        <v>0</v>
      </c>
    </row>
    <row r="18" spans="1:18" x14ac:dyDescent="0.2">
      <c r="A18" s="82" t="s">
        <v>59</v>
      </c>
      <c r="B18" s="76"/>
      <c r="C18" s="7"/>
      <c r="D18" s="83" t="s">
        <v>60</v>
      </c>
      <c r="E18" s="83"/>
      <c r="F18" s="84"/>
      <c r="G18" s="5">
        <v>0.58333333333333337</v>
      </c>
      <c r="H18" s="6">
        <v>0.66875000000000007</v>
      </c>
      <c r="I18" s="4">
        <f t="shared" si="0"/>
        <v>8.5416666666666696E-2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 t="s">
        <v>61</v>
      </c>
      <c r="B19" s="76"/>
      <c r="C19" s="7"/>
      <c r="D19" s="83" t="s">
        <v>62</v>
      </c>
      <c r="E19" s="83"/>
      <c r="F19" s="84"/>
      <c r="G19" s="5">
        <v>0.41666666666666669</v>
      </c>
      <c r="H19" s="6">
        <v>0.55486111111111114</v>
      </c>
      <c r="I19" s="4">
        <f t="shared" si="0"/>
        <v>0.13819444444444445</v>
      </c>
      <c r="J19" s="82"/>
      <c r="K19" s="76"/>
      <c r="L19" s="7"/>
      <c r="M19" s="83"/>
      <c r="N19" s="83"/>
      <c r="O19" s="84"/>
      <c r="P19" s="5"/>
      <c r="Q19" s="6"/>
      <c r="R19" s="4">
        <f t="shared" si="1"/>
        <v>0</v>
      </c>
    </row>
    <row r="20" spans="1:18" x14ac:dyDescent="0.2">
      <c r="A20" s="82" t="s">
        <v>67</v>
      </c>
      <c r="B20" s="76"/>
      <c r="C20" s="7"/>
      <c r="D20" s="83" t="s">
        <v>68</v>
      </c>
      <c r="E20" s="83"/>
      <c r="F20" s="84"/>
      <c r="G20" s="5">
        <v>0.33333333333333331</v>
      </c>
      <c r="H20" s="6">
        <v>0.4375</v>
      </c>
      <c r="I20" s="4">
        <f t="shared" si="0"/>
        <v>0.10416666666666669</v>
      </c>
      <c r="J20" s="82"/>
      <c r="K20" s="76"/>
      <c r="L20" s="7"/>
      <c r="M20" s="83"/>
      <c r="N20" s="83"/>
      <c r="O20" s="84"/>
      <c r="P20" s="5"/>
      <c r="Q20" s="6"/>
      <c r="R20" s="4">
        <f>Q20-P20</f>
        <v>0</v>
      </c>
    </row>
    <row r="21" spans="1:18" x14ac:dyDescent="0.2">
      <c r="A21" s="82" t="s">
        <v>67</v>
      </c>
      <c r="B21" s="76"/>
      <c r="C21" s="7"/>
      <c r="D21" s="83" t="s">
        <v>70</v>
      </c>
      <c r="E21" s="83"/>
      <c r="F21" s="84"/>
      <c r="G21" s="5">
        <v>0.44791666666666669</v>
      </c>
      <c r="H21" s="6">
        <v>0.48958333333333331</v>
      </c>
      <c r="I21" s="4">
        <f t="shared" si="0"/>
        <v>4.166666666666663E-2</v>
      </c>
      <c r="J21" s="82"/>
      <c r="K21" s="76"/>
      <c r="L21" s="7"/>
      <c r="M21" s="83"/>
      <c r="N21" s="83"/>
      <c r="O21" s="84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82"/>
      <c r="K27" s="76"/>
      <c r="L27" s="7"/>
      <c r="M27" s="76"/>
      <c r="N27" s="76"/>
      <c r="O27" s="77"/>
      <c r="P27" s="5"/>
      <c r="Q27" s="6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si="1"/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80"/>
      <c r="K42" s="81"/>
      <c r="L42" s="7"/>
      <c r="M42" s="76"/>
      <c r="N42" s="76"/>
      <c r="O42" s="77"/>
      <c r="P42" s="9"/>
      <c r="Q42" s="1"/>
      <c r="R42" s="4">
        <f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ref="R43:R49" si="2">Q43-P43</f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7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0.80347222222222248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0.43055555555555552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 t="s">
        <v>71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 t="s">
        <v>85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85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79</v>
      </c>
      <c r="B12" s="87"/>
      <c r="C12" s="14"/>
      <c r="D12" s="88" t="s">
        <v>80</v>
      </c>
      <c r="E12" s="88"/>
      <c r="F12" s="89"/>
      <c r="G12" s="23">
        <v>0.53125</v>
      </c>
      <c r="H12" s="3">
        <v>0.64236111111111105</v>
      </c>
      <c r="I12" s="4">
        <f>H12-G12</f>
        <v>0.11111111111111105</v>
      </c>
      <c r="J12" s="86">
        <v>44902</v>
      </c>
      <c r="K12" s="87"/>
      <c r="L12" s="14"/>
      <c r="M12" s="83" t="s">
        <v>72</v>
      </c>
      <c r="N12" s="83"/>
      <c r="O12" s="84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82" t="s">
        <v>78</v>
      </c>
      <c r="B13" s="76"/>
      <c r="C13" s="7"/>
      <c r="D13" s="83" t="s">
        <v>72</v>
      </c>
      <c r="E13" s="83"/>
      <c r="F13" s="84"/>
      <c r="G13" s="24">
        <v>0.375</v>
      </c>
      <c r="H13" s="6">
        <v>0.48958333333333331</v>
      </c>
      <c r="I13" s="4">
        <f>H13-G13</f>
        <v>0.11458333333333331</v>
      </c>
      <c r="J13" s="82">
        <v>44903</v>
      </c>
      <c r="K13" s="76"/>
      <c r="L13" s="7"/>
      <c r="M13" s="83" t="s">
        <v>73</v>
      </c>
      <c r="N13" s="83"/>
      <c r="O13" s="84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82" t="s">
        <v>82</v>
      </c>
      <c r="B14" s="76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82">
        <v>44903</v>
      </c>
      <c r="K14" s="76"/>
      <c r="L14" s="17"/>
      <c r="M14" s="83" t="s">
        <v>74</v>
      </c>
      <c r="N14" s="83"/>
      <c r="O14" s="84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82" t="s">
        <v>81</v>
      </c>
      <c r="B15" s="76"/>
      <c r="C15" s="7"/>
      <c r="D15" s="83" t="s">
        <v>84</v>
      </c>
      <c r="E15" s="83"/>
      <c r="F15" s="84"/>
      <c r="G15" s="5">
        <v>0.36805555555555558</v>
      </c>
      <c r="H15" s="6">
        <v>0.48958333333333331</v>
      </c>
      <c r="I15" s="4">
        <f t="shared" si="0"/>
        <v>0.12152777777777773</v>
      </c>
      <c r="J15" s="82">
        <v>44904</v>
      </c>
      <c r="K15" s="76"/>
      <c r="L15" s="7"/>
      <c r="M15" s="83" t="s">
        <v>75</v>
      </c>
      <c r="N15" s="83"/>
      <c r="O15" s="84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82" t="s">
        <v>81</v>
      </c>
      <c r="B16" s="76"/>
      <c r="C16" s="7"/>
      <c r="D16" s="83" t="s">
        <v>83</v>
      </c>
      <c r="E16" s="83"/>
      <c r="F16" s="84"/>
      <c r="G16" s="5">
        <v>0.75</v>
      </c>
      <c r="H16" s="6">
        <v>0.86458333333333337</v>
      </c>
      <c r="I16" s="4">
        <f t="shared" si="0"/>
        <v>0.11458333333333337</v>
      </c>
      <c r="J16" s="82">
        <v>44905</v>
      </c>
      <c r="K16" s="85"/>
      <c r="L16" s="7"/>
      <c r="M16" s="83" t="s">
        <v>76</v>
      </c>
      <c r="N16" s="83"/>
      <c r="O16" s="84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>
        <v>44906</v>
      </c>
      <c r="K17" s="76"/>
      <c r="L17" s="7"/>
      <c r="M17" s="83" t="s">
        <v>77</v>
      </c>
      <c r="N17" s="83"/>
      <c r="O17" s="84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0.51388888888888884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0.46527777777777773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tabSelected="1" topLeftCell="A2" zoomScale="140" workbookViewId="0">
      <selection activeCell="M19" sqref="M19:O19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 t="s">
        <v>86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31" t="s">
        <v>87</v>
      </c>
      <c r="D3" s="120"/>
      <c r="E3" s="120"/>
      <c r="F3" s="120"/>
      <c r="G3" s="120"/>
      <c r="H3" s="120"/>
      <c r="I3" s="121"/>
      <c r="J3" s="117" t="s">
        <v>6</v>
      </c>
      <c r="K3" s="118"/>
      <c r="L3" s="132" t="s">
        <v>87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>
        <v>44944</v>
      </c>
      <c r="K12" s="87"/>
      <c r="L12" s="14"/>
      <c r="M12" s="83" t="s">
        <v>89</v>
      </c>
      <c r="N12" s="83"/>
      <c r="O12" s="84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2">
        <v>44948</v>
      </c>
      <c r="K13" s="76"/>
      <c r="L13" s="7"/>
      <c r="M13" s="83" t="s">
        <v>91</v>
      </c>
      <c r="N13" s="83"/>
      <c r="O13" s="84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>
        <v>44949</v>
      </c>
      <c r="K14" s="76"/>
      <c r="L14" s="7"/>
      <c r="M14" s="83" t="s">
        <v>90</v>
      </c>
      <c r="N14" s="83"/>
      <c r="O14" s="84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>
        <v>44949</v>
      </c>
      <c r="K15" s="85"/>
      <c r="L15" s="7"/>
      <c r="M15" s="83" t="s">
        <v>92</v>
      </c>
      <c r="N15" s="83"/>
      <c r="O15" s="84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>
        <v>44950</v>
      </c>
      <c r="K16" s="76"/>
      <c r="L16" s="7"/>
      <c r="M16" s="83" t="s">
        <v>93</v>
      </c>
      <c r="N16" s="83"/>
      <c r="O16" s="84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v>0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 t="s">
        <v>88</v>
      </c>
      <c r="Q18" s="6"/>
      <c r="R18" s="4"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 t="shared" ref="R19:R39" si="1"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75"/>
      <c r="K26" s="76"/>
      <c r="L26" s="7"/>
      <c r="M26" s="76"/>
      <c r="N26" s="76"/>
      <c r="O26" s="77"/>
      <c r="P26" s="7"/>
      <c r="Q26" s="8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80"/>
      <c r="K40" s="81"/>
      <c r="L40" s="7"/>
      <c r="M40" s="76"/>
      <c r="N40" s="76"/>
      <c r="O40" s="77"/>
      <c r="P40" s="9"/>
      <c r="Q40" s="1"/>
      <c r="R40" s="4">
        <f>Q40-P40</f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ref="R41:R48" si="2"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si="2"/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ht="16" thickBot="1" x14ac:dyDescent="0.25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10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1"/>
      <c r="K49" s="72"/>
      <c r="L49" s="16"/>
      <c r="M49" s="73"/>
      <c r="N49" s="73"/>
      <c r="O49" s="72"/>
      <c r="P49" s="74" t="s">
        <v>38</v>
      </c>
      <c r="Q49" s="72"/>
      <c r="R49" s="13">
        <f>SUM(R12:R48)</f>
        <v>0.60416666666666674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</row>
    <row r="51" spans="1:18" ht="16" thickTop="1" x14ac:dyDescent="0.2"/>
  </sheetData>
  <mergeCells count="187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J19:K19"/>
    <mergeCell ref="M19:O19"/>
    <mergeCell ref="A21:B21"/>
    <mergeCell ref="D21:F21"/>
    <mergeCell ref="J20:K20"/>
    <mergeCell ref="M20:O20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J23:K23"/>
    <mergeCell ref="M23:O23"/>
    <mergeCell ref="A25:B25"/>
    <mergeCell ref="D25:F25"/>
    <mergeCell ref="J24:K24"/>
    <mergeCell ref="M24:O24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J27:K27"/>
    <mergeCell ref="M27:O27"/>
    <mergeCell ref="A29:B29"/>
    <mergeCell ref="D29:F29"/>
    <mergeCell ref="J28:K28"/>
    <mergeCell ref="M28:O28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J31:K31"/>
    <mergeCell ref="M31:O31"/>
    <mergeCell ref="A33:B33"/>
    <mergeCell ref="D33:F33"/>
    <mergeCell ref="J32:K32"/>
    <mergeCell ref="M32:O32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J35:K35"/>
    <mergeCell ref="M35:O35"/>
    <mergeCell ref="A37:B37"/>
    <mergeCell ref="D37:F37"/>
    <mergeCell ref="J36:K36"/>
    <mergeCell ref="M36:O36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J39:K39"/>
    <mergeCell ref="M39:O39"/>
    <mergeCell ref="A41:B41"/>
    <mergeCell ref="D41:F41"/>
    <mergeCell ref="J40:K40"/>
    <mergeCell ref="M40:O40"/>
    <mergeCell ref="A46:B46"/>
    <mergeCell ref="D46:F46"/>
    <mergeCell ref="J45:K45"/>
    <mergeCell ref="M45:O45"/>
    <mergeCell ref="A47:B47"/>
    <mergeCell ref="D47:F47"/>
    <mergeCell ref="J46:K46"/>
    <mergeCell ref="M46:O46"/>
    <mergeCell ref="A44:B44"/>
    <mergeCell ref="D44:F44"/>
    <mergeCell ref="J43:K43"/>
    <mergeCell ref="M43:O43"/>
    <mergeCell ref="A45:B45"/>
    <mergeCell ref="D45:F45"/>
    <mergeCell ref="J44:K44"/>
    <mergeCell ref="M44:O44"/>
    <mergeCell ref="A50:B50"/>
    <mergeCell ref="D50:F50"/>
    <mergeCell ref="G50:H50"/>
    <mergeCell ref="J49:K49"/>
    <mergeCell ref="M49:O49"/>
    <mergeCell ref="P49:Q49"/>
    <mergeCell ref="A48:B48"/>
    <mergeCell ref="D48:F48"/>
    <mergeCell ref="J47:K47"/>
    <mergeCell ref="M47:O47"/>
    <mergeCell ref="A49:B49"/>
    <mergeCell ref="D49:F49"/>
    <mergeCell ref="J48:K48"/>
    <mergeCell ref="M48:O4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2023-01-24T11:41:36Z</dcterms:modified>
  <cp:category/>
  <cp:contentStatus/>
</cp:coreProperties>
</file>