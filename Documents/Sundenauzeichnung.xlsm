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831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68157115d40ac8e2/Desktop/School/Syp/PV-Visualizer/Documents/"/>
    </mc:Choice>
  </mc:AlternateContent>
  <xr:revisionPtr revIDLastSave="86" documentId="13_ncr:1_{DCA4152E-3137-BA4A-BBDF-741C10D0A9F8}" xr6:coauthVersionLast="47" xr6:coauthVersionMax="47" xr10:uidLastSave="{166BB4C0-1A7D-463C-8420-05456E0884C4}"/>
  <bookViews>
    <workbookView xWindow="-108" yWindow="-108" windowWidth="23256" windowHeight="13176" activeTab="6" xr2:uid="{00000000-000D-0000-FFFF-FFFF00000000}"/>
  </bookViews>
  <sheets>
    <sheet name="Übersich_DATA" sheetId="7" r:id="rId1"/>
    <sheet name="Sprint_DATA" sheetId="8" r:id="rId2"/>
    <sheet name="Übersicht" sheetId="2" r:id="rId3"/>
    <sheet name="Funktionen" sheetId="9" r:id="rId4"/>
    <sheet name="Sprint 1" sheetId="3" r:id="rId5"/>
    <sheet name="Sprint 2" sheetId="10" r:id="rId6"/>
    <sheet name="Sprint 3" sheetId="11" r:id="rId7"/>
  </sheet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A4" i="2" l="1"/>
  <c r="R49" i="11"/>
  <c r="I49" i="11"/>
  <c r="R48" i="11"/>
  <c r="I48" i="11"/>
  <c r="R47" i="11"/>
  <c r="I47" i="11"/>
  <c r="R46" i="11"/>
  <c r="I46" i="11"/>
  <c r="R45" i="11"/>
  <c r="I45" i="11"/>
  <c r="R44" i="11"/>
  <c r="I44" i="11"/>
  <c r="R43" i="11"/>
  <c r="I43" i="11"/>
  <c r="R42" i="11"/>
  <c r="I42" i="11"/>
  <c r="R41" i="11"/>
  <c r="I41" i="11"/>
  <c r="R40" i="11"/>
  <c r="I40" i="11"/>
  <c r="R39" i="11"/>
  <c r="I39" i="11"/>
  <c r="R38" i="11"/>
  <c r="I38" i="11"/>
  <c r="R37" i="11"/>
  <c r="I37" i="11"/>
  <c r="R36" i="11"/>
  <c r="I36" i="11"/>
  <c r="R35" i="11"/>
  <c r="I35" i="11"/>
  <c r="R34" i="11"/>
  <c r="I34" i="11"/>
  <c r="R33" i="11"/>
  <c r="I33" i="11"/>
  <c r="R32" i="11"/>
  <c r="I32" i="11"/>
  <c r="R31" i="11"/>
  <c r="I31" i="11"/>
  <c r="R30" i="11"/>
  <c r="I30" i="11"/>
  <c r="R29" i="11"/>
  <c r="I29" i="11"/>
  <c r="R28" i="11"/>
  <c r="I28" i="11"/>
  <c r="R27" i="11"/>
  <c r="I27" i="11"/>
  <c r="R26" i="11"/>
  <c r="I26" i="11"/>
  <c r="R25" i="11"/>
  <c r="I25" i="11"/>
  <c r="R24" i="11"/>
  <c r="I24" i="11"/>
  <c r="R23" i="11"/>
  <c r="I23" i="11"/>
  <c r="R22" i="11"/>
  <c r="I22" i="11"/>
  <c r="R21" i="11"/>
  <c r="I21" i="11"/>
  <c r="R20" i="11"/>
  <c r="I20" i="11"/>
  <c r="R19" i="11"/>
  <c r="I19" i="11"/>
  <c r="R18" i="11"/>
  <c r="I18" i="11"/>
  <c r="R17" i="11"/>
  <c r="I17" i="11"/>
  <c r="R16" i="11"/>
  <c r="I16" i="11"/>
  <c r="R15" i="11"/>
  <c r="I15" i="11"/>
  <c r="R14" i="11"/>
  <c r="I14" i="11"/>
  <c r="R13" i="11"/>
  <c r="I13" i="11"/>
  <c r="R12" i="11"/>
  <c r="I12" i="11"/>
  <c r="R13" i="10"/>
  <c r="R14" i="10"/>
  <c r="I50" i="11" l="1"/>
  <c r="R50" i="11"/>
  <c r="R12" i="10"/>
  <c r="I49" i="10"/>
  <c r="R49" i="10"/>
  <c r="I48" i="10"/>
  <c r="R48" i="10"/>
  <c r="I47" i="10"/>
  <c r="R47" i="10"/>
  <c r="I46" i="10"/>
  <c r="R46" i="10"/>
  <c r="I45" i="10"/>
  <c r="R45" i="10"/>
  <c r="I44" i="10"/>
  <c r="R44" i="10"/>
  <c r="I43" i="10"/>
  <c r="R43" i="10"/>
  <c r="I42" i="10"/>
  <c r="R42" i="10"/>
  <c r="I41" i="10"/>
  <c r="R41" i="10"/>
  <c r="I40" i="10"/>
  <c r="R40" i="10"/>
  <c r="I39" i="10"/>
  <c r="R39" i="10"/>
  <c r="I38" i="10"/>
  <c r="R38" i="10"/>
  <c r="I37" i="10"/>
  <c r="R37" i="10"/>
  <c r="I36" i="10"/>
  <c r="R36" i="10"/>
  <c r="I35" i="10"/>
  <c r="R35" i="10"/>
  <c r="I34" i="10"/>
  <c r="R34" i="10"/>
  <c r="I33" i="10"/>
  <c r="R33" i="10"/>
  <c r="I32" i="10"/>
  <c r="R32" i="10"/>
  <c r="I31" i="10"/>
  <c r="R31" i="10"/>
  <c r="I30" i="10"/>
  <c r="R30" i="10"/>
  <c r="I29" i="10"/>
  <c r="R29" i="10"/>
  <c r="I28" i="10"/>
  <c r="R28" i="10"/>
  <c r="I27" i="10"/>
  <c r="R27" i="10"/>
  <c r="I26" i="10"/>
  <c r="R26" i="10"/>
  <c r="I25" i="10"/>
  <c r="R25" i="10"/>
  <c r="I24" i="10"/>
  <c r="R24" i="10"/>
  <c r="I23" i="10"/>
  <c r="R23" i="10"/>
  <c r="I22" i="10"/>
  <c r="R22" i="10"/>
  <c r="I21" i="10"/>
  <c r="R21" i="10"/>
  <c r="I20" i="10"/>
  <c r="R20" i="10"/>
  <c r="I19" i="10"/>
  <c r="R19" i="10"/>
  <c r="I18" i="10"/>
  <c r="R18" i="10"/>
  <c r="I17" i="10"/>
  <c r="R17" i="10"/>
  <c r="I16" i="10"/>
  <c r="R16" i="10"/>
  <c r="R50" i="10" s="1"/>
  <c r="I15" i="10"/>
  <c r="R15" i="10"/>
  <c r="I14" i="10"/>
  <c r="I13" i="10"/>
  <c r="I12" i="10"/>
  <c r="A17" i="2"/>
  <c r="D9" i="7"/>
  <c r="D12" i="7"/>
  <c r="R49" i="8"/>
  <c r="I49" i="8"/>
  <c r="R48" i="8"/>
  <c r="I48" i="8"/>
  <c r="R47" i="8"/>
  <c r="I47" i="8"/>
  <c r="R46" i="8"/>
  <c r="I46" i="8"/>
  <c r="R45" i="8"/>
  <c r="I45" i="8"/>
  <c r="R44" i="8"/>
  <c r="I44" i="8"/>
  <c r="R43" i="8"/>
  <c r="I43" i="8"/>
  <c r="R42" i="8"/>
  <c r="I42" i="8"/>
  <c r="R41" i="8"/>
  <c r="I41" i="8"/>
  <c r="R40" i="8"/>
  <c r="I40" i="8"/>
  <c r="R39" i="8"/>
  <c r="I39" i="8"/>
  <c r="R38" i="8"/>
  <c r="I38" i="8"/>
  <c r="R37" i="8"/>
  <c r="I37" i="8"/>
  <c r="R36" i="8"/>
  <c r="I36" i="8"/>
  <c r="R35" i="8"/>
  <c r="I35" i="8"/>
  <c r="R34" i="8"/>
  <c r="I34" i="8"/>
  <c r="R33" i="8"/>
  <c r="I33" i="8"/>
  <c r="R32" i="8"/>
  <c r="I32" i="8"/>
  <c r="R31" i="8"/>
  <c r="I31" i="8"/>
  <c r="R30" i="8"/>
  <c r="I30" i="8"/>
  <c r="R29" i="8"/>
  <c r="I29" i="8"/>
  <c r="R28" i="8"/>
  <c r="I28" i="8"/>
  <c r="R27" i="8"/>
  <c r="I27" i="8"/>
  <c r="R26" i="8"/>
  <c r="I26" i="8"/>
  <c r="R25" i="8"/>
  <c r="I25" i="8"/>
  <c r="R24" i="8"/>
  <c r="I24" i="8"/>
  <c r="R23" i="8"/>
  <c r="I23" i="8"/>
  <c r="R22" i="8"/>
  <c r="I22" i="8"/>
  <c r="R21" i="8"/>
  <c r="I21" i="8"/>
  <c r="R20" i="8"/>
  <c r="I20" i="8"/>
  <c r="R19" i="8"/>
  <c r="I19" i="8"/>
  <c r="R18" i="8"/>
  <c r="I18" i="8"/>
  <c r="R17" i="8"/>
  <c r="I17" i="8"/>
  <c r="R16" i="8"/>
  <c r="I16" i="8"/>
  <c r="R15" i="8"/>
  <c r="I15" i="8"/>
  <c r="R14" i="8"/>
  <c r="I14" i="8"/>
  <c r="R13" i="8"/>
  <c r="I13" i="8"/>
  <c r="R12" i="8"/>
  <c r="R50" i="8" s="1"/>
  <c r="I12" i="8"/>
  <c r="I50" i="8" s="1"/>
  <c r="R19" i="3"/>
  <c r="R16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8" i="3"/>
  <c r="R17" i="3"/>
  <c r="R15" i="3"/>
  <c r="R14" i="3"/>
  <c r="R13" i="3"/>
  <c r="R12" i="3"/>
  <c r="I49" i="3"/>
  <c r="I48" i="3"/>
  <c r="I47" i="3"/>
  <c r="I46" i="3"/>
  <c r="I45" i="3"/>
  <c r="I44" i="3"/>
  <c r="I43" i="3"/>
  <c r="I42" i="3"/>
  <c r="I41" i="3"/>
  <c r="I40" i="3"/>
  <c r="I39" i="3"/>
  <c r="I38" i="3"/>
  <c r="I37" i="3"/>
  <c r="I36" i="3"/>
  <c r="I35" i="3"/>
  <c r="I34" i="3"/>
  <c r="I33" i="3"/>
  <c r="I32" i="3"/>
  <c r="I31" i="3"/>
  <c r="I30" i="3"/>
  <c r="I29" i="3"/>
  <c r="I28" i="3"/>
  <c r="I27" i="3"/>
  <c r="I26" i="3"/>
  <c r="I25" i="3"/>
  <c r="I24" i="3"/>
  <c r="I23" i="3"/>
  <c r="I22" i="3"/>
  <c r="I21" i="3"/>
  <c r="I20" i="3"/>
  <c r="I19" i="3"/>
  <c r="I18" i="3"/>
  <c r="I17" i="3"/>
  <c r="I16" i="3"/>
  <c r="I15" i="3"/>
  <c r="I14" i="3"/>
  <c r="I13" i="3"/>
  <c r="I12" i="3"/>
  <c r="I50" i="10" l="1"/>
  <c r="R50" i="3"/>
  <c r="I50" i="3"/>
  <c r="A4" i="7" l="1"/>
</calcChain>
</file>

<file path=xl/sharedStrings.xml><?xml version="1.0" encoding="utf-8"?>
<sst xmlns="http://schemas.openxmlformats.org/spreadsheetml/2006/main" count="214" uniqueCount="86">
  <si>
    <t>Sprint 1</t>
  </si>
  <si>
    <t>Gesamt Stundenanzahl pro Person</t>
  </si>
  <si>
    <t>Person</t>
  </si>
  <si>
    <t>Peric Antonio</t>
  </si>
  <si>
    <t>Gesamte Stunden</t>
  </si>
  <si>
    <t>Lau William</t>
  </si>
  <si>
    <t>Erfassungszeitraum</t>
  </si>
  <si>
    <t>Projektbezeichnung</t>
  </si>
  <si>
    <t>Datum</t>
  </si>
  <si>
    <t>Tätigkeiten</t>
  </si>
  <si>
    <t>Stundenanzahl</t>
  </si>
  <si>
    <t>Uhrzeit von</t>
  </si>
  <si>
    <t>Uhrzeit bis</t>
  </si>
  <si>
    <t>Stunden</t>
  </si>
  <si>
    <t>10.10.2022</t>
  </si>
  <si>
    <t>Datenblätter hinzufügen und Clickdummy desgin</t>
  </si>
  <si>
    <t>Create database with an entity and inform fake rest api (Intellij live share)</t>
  </si>
  <si>
    <t>18.10.2022</t>
  </si>
  <si>
    <t>Datenbank mit einer Entity hinzufügen &amp; über Json Fake Api Informieren</t>
  </si>
  <si>
    <t>Grafana installieren, tutorials/dokus lesen</t>
  </si>
  <si>
    <t>Test Json file auf Fake Api laufen lassen</t>
  </si>
  <si>
    <t>Tes Grafana diagramm auf einer embedden(diagramm inahlt wird nicht angezeigt)</t>
  </si>
  <si>
    <t>19.10.2022</t>
  </si>
  <si>
    <t>Daten von Api bekommen / Datenbank &amp; Quarkus Fehler aufgetaucht</t>
  </si>
  <si>
    <t>Fehler in Quarkus beseitigt (Intellij live share)</t>
  </si>
  <si>
    <t>20.10.2022</t>
  </si>
  <si>
    <t>Quarkus Fehler behoben / Entities per Id hinzufügen Fehler und Json file  incorrect</t>
  </si>
  <si>
    <t>github issues anlegen, repos aufräumen, stundenaufzeichnung layout ändern</t>
  </si>
  <si>
    <t>06.11.2022</t>
  </si>
  <si>
    <t>Alle Fehler wegbekommen &amp; neues Json File &amp; Controller</t>
  </si>
  <si>
    <t>Hugo website layouts erstellen(md content pages wollen html layout nicht übernehmen)</t>
  </si>
  <si>
    <t>Grafana hinzufügen / state Fronius implementiert</t>
  </si>
  <si>
    <t>Einfügen des contents der website vorerst auf html page, styles des content, slideshow einfügen</t>
  </si>
  <si>
    <t>Erfolgreich Enities miteinander verknüpft &amp; Grafana Docker File</t>
  </si>
  <si>
    <t>JPA Entites verknüpfen / grafana docker container (intellij live share)</t>
  </si>
  <si>
    <t>14.11.2022</t>
  </si>
  <si>
    <t>Hugo Website Fehler behoben</t>
  </si>
  <si>
    <t>Small improvements to website</t>
  </si>
  <si>
    <t>Gesamt-Zeit:</t>
  </si>
  <si>
    <t>15.11.2022</t>
  </si>
  <si>
    <t>Powerpoint erstellt und Daten aktuallisiert</t>
  </si>
  <si>
    <t>18.10.2022 bis 14.11.2022</t>
  </si>
  <si>
    <t>10.10.2022 bis 15.11.2022</t>
  </si>
  <si>
    <t>Issue</t>
  </si>
  <si>
    <t>PV-Visualizer</t>
  </si>
  <si>
    <t>Gesamt Stundenanzahl</t>
  </si>
  <si>
    <t>Funktionen</t>
  </si>
  <si>
    <t>Stundenaufzeichnung ändern</t>
  </si>
  <si>
    <t>Sprint 2</t>
  </si>
  <si>
    <t>16.11.2022 bis 29.11.2022</t>
  </si>
  <si>
    <t>16.11.2022</t>
  </si>
  <si>
    <t>Logic verbessert &amp; Json File angepasst</t>
  </si>
  <si>
    <t>Fixed all Errors &amp; started with Select Statement</t>
  </si>
  <si>
    <t>21.11.2022</t>
  </si>
  <si>
    <t>Call up every Minute API</t>
  </si>
  <si>
    <t>Add Issues</t>
  </si>
  <si>
    <t>Update Grafana and Website</t>
  </si>
  <si>
    <t>22.11.2022</t>
  </si>
  <si>
    <t>Update Logic</t>
  </si>
  <si>
    <t>25.11.2022</t>
  </si>
  <si>
    <t>Powerpoint verbessert</t>
  </si>
  <si>
    <t>28.11.2022</t>
  </si>
  <si>
    <t>Update Client and Website</t>
  </si>
  <si>
    <t>Änderungen an Datacontroller im backend</t>
  </si>
  <si>
    <t>Logic ausbessern,  Json File angepasst (Live Share)</t>
  </si>
  <si>
    <t>MonthlyConsumption view erstellen, Monthlyconsumption() in data controller</t>
  </si>
  <si>
    <t>Research error why grafana dashboard always disapearing</t>
  </si>
  <si>
    <t>29.11.2022</t>
  </si>
  <si>
    <t>Add JavaDoc to Code and generate Website</t>
  </si>
  <si>
    <t>Clean Html Code and Split up the code hugo | Not Going</t>
  </si>
  <si>
    <t>Create Workflows and Change to Doxy File</t>
  </si>
  <si>
    <t>Sprint 3</t>
  </si>
  <si>
    <t>set up oracle vm server for website</t>
  </si>
  <si>
    <t>installing nginx, set up no ip domain, website displayed nothing , solution =&gt; restart VM (literally took me 3 hours until i thought of that)</t>
  </si>
  <si>
    <t>setting up github actions workflow and secrets</t>
  </si>
  <si>
    <t>trying to fix file transfer between machine and server</t>
  </si>
  <si>
    <t>solve error 'permission denied (public key)' while deploying website to server</t>
  </si>
  <si>
    <t>trying to fix deployment workflow</t>
  </si>
  <si>
    <t>07.12.2022</t>
  </si>
  <si>
    <t>06.12.2022</t>
  </si>
  <si>
    <t>Correct Today´s Consumption</t>
  </si>
  <si>
    <t>12.10.2022</t>
  </si>
  <si>
    <t>10.12.2022</t>
  </si>
  <si>
    <t>Correct Backand and Grafana</t>
  </si>
  <si>
    <t>Update Hugo Website and Grafana</t>
  </si>
  <si>
    <t>29.11.2022 bis 13.12.2022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</si>
</sst>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hh]:mm;@"/>
  </numFmts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000000"/>
      <name val="Calibri"/>
      <family val="2"/>
      <charset val="1"/>
    </font>
    <font>
      <b/>
      <sz val="24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2F2F2"/>
      </patternFill>
    </fill>
  </fills>
  <borders count="72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 style="double">
        <color rgb="FFFF8001"/>
      </bottom>
      <diagonal/>
    </border>
    <border>
      <left/>
      <right/>
      <top style="medium">
        <color indexed="64"/>
      </top>
      <bottom style="double">
        <color rgb="FFFF8001"/>
      </bottom>
      <diagonal/>
    </border>
    <border>
      <left/>
      <right style="medium">
        <color indexed="64"/>
      </right>
      <top style="medium">
        <color indexed="64"/>
      </top>
      <bottom style="double">
        <color rgb="FFFF8001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/>
      <top style="thick">
        <color indexed="64"/>
      </top>
      <bottom style="thin">
        <color indexed="64"/>
      </bottom>
      <diagonal/>
    </border>
    <border>
      <left/>
      <right/>
      <top style="thick">
        <color indexed="64"/>
      </top>
      <bottom style="thin">
        <color indexed="64"/>
      </bottom>
      <diagonal/>
    </border>
    <border>
      <left/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ck">
        <color indexed="64"/>
      </right>
      <top style="thin">
        <color indexed="64"/>
      </top>
      <bottom style="medium">
        <color indexed="64"/>
      </bottom>
      <diagonal/>
    </border>
    <border>
      <left style="thick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thick">
        <color indexed="64"/>
      </right>
      <top style="medium">
        <color indexed="64"/>
      </top>
      <bottom style="double">
        <color rgb="FFFF8001"/>
      </bottom>
      <diagonal/>
    </border>
    <border>
      <left style="thick">
        <color indexed="64"/>
      </left>
      <right/>
      <top/>
      <bottom/>
      <diagonal/>
    </border>
    <border>
      <left style="medium">
        <color indexed="64"/>
      </left>
      <right style="thick">
        <color indexed="64"/>
      </right>
      <top/>
      <bottom/>
      <diagonal/>
    </border>
    <border>
      <left style="thick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ck">
        <color indexed="64"/>
      </right>
      <top/>
      <bottom style="medium">
        <color indexed="64"/>
      </bottom>
      <diagonal/>
    </border>
    <border>
      <left style="thick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rgb="FF3F3F3F"/>
      </top>
      <bottom style="thin">
        <color rgb="FF3F3F3F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ck">
        <color indexed="64"/>
      </right>
      <top style="thin">
        <color rgb="FF3F3F3F"/>
      </top>
      <bottom style="medium">
        <color indexed="64"/>
      </bottom>
      <diagonal/>
    </border>
    <border>
      <left style="thick">
        <color indexed="64"/>
      </left>
      <right/>
      <top style="medium">
        <color indexed="64"/>
      </top>
      <bottom style="thick">
        <color indexed="64"/>
      </bottom>
      <diagonal/>
    </border>
    <border>
      <left/>
      <right style="medium">
        <color indexed="64"/>
      </right>
      <top style="medium">
        <color indexed="64"/>
      </top>
      <bottom style="thick">
        <color indexed="64"/>
      </bottom>
      <diagonal/>
    </border>
    <border>
      <left style="medium">
        <color indexed="64"/>
      </left>
      <right/>
      <top style="medium">
        <color indexed="64"/>
      </top>
      <bottom style="thick">
        <color indexed="64"/>
      </bottom>
      <diagonal/>
    </border>
    <border>
      <left/>
      <right/>
      <top style="medium">
        <color indexed="64"/>
      </top>
      <bottom style="thick">
        <color indexed="64"/>
      </bottom>
      <diagonal/>
    </border>
    <border>
      <left style="medium">
        <color indexed="64"/>
      </left>
      <right style="thick">
        <color indexed="64"/>
      </right>
      <top style="medium">
        <color indexed="64"/>
      </top>
      <bottom style="thick">
        <color indexed="64"/>
      </bottom>
      <diagonal/>
    </border>
    <border>
      <left style="medium">
        <color indexed="64"/>
      </left>
      <right/>
      <top style="double">
        <color rgb="FFFF8001"/>
      </top>
      <bottom style="medium">
        <color indexed="64"/>
      </bottom>
      <diagonal/>
    </border>
    <border>
      <left/>
      <right/>
      <top style="double">
        <color rgb="FFFF8001"/>
      </top>
      <bottom style="medium">
        <color indexed="64"/>
      </bottom>
      <diagonal/>
    </border>
    <border>
      <left/>
      <right style="medium">
        <color indexed="64"/>
      </right>
      <top style="double">
        <color rgb="FFFF8001"/>
      </top>
      <bottom style="medium">
        <color indexed="64"/>
      </bottom>
      <diagonal/>
    </border>
    <border>
      <left style="medium">
        <color indexed="64"/>
      </left>
      <right/>
      <top style="double">
        <color rgb="FFFF8001"/>
      </top>
      <bottom/>
      <diagonal/>
    </border>
    <border>
      <left/>
      <right/>
      <top style="double">
        <color rgb="FFFF8001"/>
      </top>
      <bottom/>
      <diagonal/>
    </border>
    <border>
      <left/>
      <right style="medium">
        <color indexed="64"/>
      </right>
      <top style="double">
        <color rgb="FFFF8001"/>
      </top>
      <bottom/>
      <diagonal/>
    </border>
    <border>
      <left/>
      <right/>
      <top/>
      <bottom style="thick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thin">
        <color rgb="FF3F3F3F"/>
      </top>
      <bottom style="thin">
        <color rgb="FF3F3F3F"/>
      </bottom>
      <diagonal/>
    </border>
  </borders>
  <cellStyleXfs count="4">
    <xf numFmtId="0" fontId="0" fillId="0" borderId="0"/>
    <xf numFmtId="0" fontId="4" fillId="2" borderId="16" applyNumberFormat="0" applyAlignment="0" applyProtection="0"/>
    <xf numFmtId="0" fontId="5" fillId="2" borderId="15" applyNumberFormat="0" applyAlignment="0" applyProtection="0"/>
    <xf numFmtId="0" fontId="6" fillId="0" borderId="17" applyNumberFormat="0" applyFill="0" applyAlignment="0" applyProtection="0"/>
  </cellStyleXfs>
  <cellXfs count="132">
    <xf numFmtId="0" fontId="0" fillId="0" borderId="0" xfId="0"/>
    <xf numFmtId="20" fontId="0" fillId="0" borderId="14" xfId="0" applyNumberFormat="1" applyBorder="1"/>
    <xf numFmtId="20" fontId="0" fillId="0" borderId="50" xfId="0" applyNumberFormat="1" applyBorder="1"/>
    <xf numFmtId="20" fontId="0" fillId="0" borderId="52" xfId="0" applyNumberFormat="1" applyBorder="1"/>
    <xf numFmtId="20" fontId="4" fillId="2" borderId="53" xfId="1" applyNumberFormat="1" applyBorder="1" applyAlignment="1">
      <alignment horizontal="center"/>
    </xf>
    <xf numFmtId="20" fontId="0" fillId="0" borderId="22" xfId="0" applyNumberFormat="1" applyBorder="1"/>
    <xf numFmtId="20" fontId="0" fillId="0" borderId="54" xfId="0" applyNumberFormat="1" applyBorder="1"/>
    <xf numFmtId="0" fontId="0" fillId="0" borderId="22" xfId="0" applyBorder="1"/>
    <xf numFmtId="0" fontId="0" fillId="0" borderId="54" xfId="0" applyBorder="1"/>
    <xf numFmtId="20" fontId="0" fillId="0" borderId="11" xfId="0" applyNumberFormat="1" applyBorder="1"/>
    <xf numFmtId="0" fontId="0" fillId="0" borderId="25" xfId="0" applyBorder="1"/>
    <xf numFmtId="0" fontId="0" fillId="0" borderId="56" xfId="0" applyBorder="1"/>
    <xf numFmtId="20" fontId="4" fillId="2" borderId="57" xfId="1" applyNumberFormat="1" applyBorder="1" applyAlignment="1">
      <alignment horizontal="center"/>
    </xf>
    <xf numFmtId="164" fontId="5" fillId="2" borderId="62" xfId="2" applyNumberFormat="1" applyBorder="1" applyAlignment="1">
      <alignment horizontal="center"/>
    </xf>
    <xf numFmtId="0" fontId="0" fillId="0" borderId="50" xfId="0" applyBorder="1"/>
    <xf numFmtId="0" fontId="0" fillId="0" borderId="0" xfId="0" applyAlignment="1">
      <alignment horizontal="left"/>
    </xf>
    <xf numFmtId="0" fontId="5" fillId="2" borderId="60" xfId="2" applyBorder="1" applyAlignment="1"/>
    <xf numFmtId="0" fontId="7" fillId="0" borderId="22" xfId="0" applyFont="1" applyBorder="1"/>
    <xf numFmtId="20" fontId="0" fillId="0" borderId="21" xfId="0" applyNumberFormat="1" applyBorder="1"/>
    <xf numFmtId="20" fontId="0" fillId="0" borderId="70" xfId="0" applyNumberFormat="1" applyBorder="1"/>
    <xf numFmtId="20" fontId="4" fillId="2" borderId="71" xfId="1" applyNumberFormat="1" applyBorder="1" applyAlignment="1">
      <alignment horizontal="center"/>
    </xf>
    <xf numFmtId="20" fontId="0" fillId="0" borderId="0" xfId="0" applyNumberFormat="1"/>
    <xf numFmtId="0" fontId="0" fillId="0" borderId="23" xfId="0" applyBorder="1"/>
    <xf numFmtId="0" fontId="1" fillId="0" borderId="66" xfId="0" applyFont="1" applyBorder="1" applyAlignment="1">
      <alignment horizontal="center"/>
    </xf>
    <xf numFmtId="0" fontId="1" fillId="0" borderId="67" xfId="0" applyFont="1" applyBorder="1" applyAlignment="1">
      <alignment horizontal="center"/>
    </xf>
    <xf numFmtId="0" fontId="1" fillId="0" borderId="68" xfId="0" applyFont="1" applyBorder="1" applyAlignment="1">
      <alignment horizontal="center"/>
    </xf>
    <xf numFmtId="0" fontId="2" fillId="0" borderId="42" xfId="0" applyFont="1" applyBorder="1" applyAlignment="1">
      <alignment horizontal="center" vertical="center"/>
    </xf>
    <xf numFmtId="0" fontId="2" fillId="0" borderId="12" xfId="0" applyFont="1" applyBorder="1" applyAlignment="1">
      <alignment horizontal="center" vertical="center"/>
    </xf>
    <xf numFmtId="0" fontId="2" fillId="0" borderId="8" xfId="0" applyFont="1" applyBorder="1" applyAlignment="1">
      <alignment horizontal="center" vertical="center"/>
    </xf>
    <xf numFmtId="0" fontId="2" fillId="0" borderId="13" xfId="0" applyFont="1" applyBorder="1" applyAlignment="1">
      <alignment horizontal="center" vertical="center"/>
    </xf>
    <xf numFmtId="0" fontId="2" fillId="0" borderId="9" xfId="0" applyFont="1" applyBorder="1" applyAlignment="1">
      <alignment horizontal="center" vertical="center"/>
    </xf>
    <xf numFmtId="0" fontId="2" fillId="0" borderId="10" xfId="0" applyFont="1" applyBorder="1" applyAlignment="1">
      <alignment horizontal="center" vertical="center"/>
    </xf>
    <xf numFmtId="0" fontId="6" fillId="0" borderId="18" xfId="3" applyBorder="1" applyAlignment="1">
      <alignment horizontal="center"/>
    </xf>
    <xf numFmtId="0" fontId="6" fillId="0" borderId="19" xfId="3" applyBorder="1" applyAlignment="1">
      <alignment horizontal="center"/>
    </xf>
    <xf numFmtId="0" fontId="6" fillId="0" borderId="20" xfId="3" applyBorder="1" applyAlignment="1">
      <alignment horizontal="center"/>
    </xf>
    <xf numFmtId="164" fontId="1" fillId="2" borderId="63" xfId="2" applyNumberFormat="1" applyFont="1" applyBorder="1" applyAlignment="1">
      <alignment horizontal="center"/>
    </xf>
    <xf numFmtId="164" fontId="1" fillId="2" borderId="64" xfId="2" applyNumberFormat="1" applyFont="1" applyBorder="1" applyAlignment="1">
      <alignment horizontal="center"/>
    </xf>
    <xf numFmtId="164" fontId="1" fillId="2" borderId="65" xfId="2" applyNumberFormat="1" applyFont="1" applyBorder="1" applyAlignment="1">
      <alignment horizontal="center"/>
    </xf>
    <xf numFmtId="0" fontId="1" fillId="0" borderId="5" xfId="0" applyFont="1" applyBorder="1" applyAlignment="1">
      <alignment horizontal="center"/>
    </xf>
    <xf numFmtId="0" fontId="1" fillId="0" borderId="6" xfId="0" applyFont="1" applyBorder="1" applyAlignment="1">
      <alignment horizontal="center"/>
    </xf>
    <xf numFmtId="0" fontId="1" fillId="0" borderId="7" xfId="0" applyFont="1" applyBorder="1" applyAlignment="1">
      <alignment horizontal="center"/>
    </xf>
    <xf numFmtId="0" fontId="3" fillId="0" borderId="21" xfId="0" applyFont="1" applyBorder="1" applyAlignment="1">
      <alignment horizontal="left"/>
    </xf>
    <xf numFmtId="0" fontId="3" fillId="0" borderId="1" xfId="0" applyFont="1" applyBorder="1" applyAlignment="1">
      <alignment horizontal="left"/>
    </xf>
    <xf numFmtId="0" fontId="3" fillId="0" borderId="3" xfId="0" applyFont="1" applyBorder="1" applyAlignment="1">
      <alignment horizontal="left"/>
    </xf>
    <xf numFmtId="0" fontId="1" fillId="0" borderId="21" xfId="0" applyFont="1" applyBorder="1" applyAlignment="1">
      <alignment horizontal="left" vertical="center"/>
    </xf>
    <xf numFmtId="0" fontId="1" fillId="0" borderId="1" xfId="0" applyFont="1" applyBorder="1" applyAlignment="1">
      <alignment horizontal="left" vertical="center"/>
    </xf>
    <xf numFmtId="0" fontId="1" fillId="0" borderId="3" xfId="0" applyFont="1" applyBorder="1" applyAlignment="1">
      <alignment horizontal="left" vertical="center"/>
    </xf>
    <xf numFmtId="0" fontId="3" fillId="0" borderId="22" xfId="0" applyFont="1" applyBorder="1" applyAlignment="1">
      <alignment horizontal="left"/>
    </xf>
    <xf numFmtId="0" fontId="3" fillId="0" borderId="23" xfId="0" applyFont="1" applyBorder="1" applyAlignment="1">
      <alignment horizontal="left"/>
    </xf>
    <xf numFmtId="0" fontId="3" fillId="0" borderId="24" xfId="0" applyFont="1" applyBorder="1" applyAlignment="1">
      <alignment horizontal="left"/>
    </xf>
    <xf numFmtId="164" fontId="1" fillId="2" borderId="22" xfId="2" applyNumberFormat="1" applyFont="1" applyBorder="1" applyAlignment="1">
      <alignment horizontal="center"/>
    </xf>
    <xf numFmtId="164" fontId="1" fillId="2" borderId="23" xfId="2" applyNumberFormat="1" applyFont="1" applyBorder="1" applyAlignment="1">
      <alignment horizontal="center"/>
    </xf>
    <xf numFmtId="164" fontId="1" fillId="2" borderId="24" xfId="2" applyNumberFormat="1" applyFont="1" applyBorder="1" applyAlignment="1">
      <alignment horizontal="center"/>
    </xf>
    <xf numFmtId="0" fontId="1" fillId="0" borderId="25" xfId="0" applyFont="1" applyBorder="1" applyAlignment="1">
      <alignment horizontal="center"/>
    </xf>
    <xf numFmtId="0" fontId="1" fillId="0" borderId="26" xfId="0" applyFont="1" applyBorder="1" applyAlignment="1">
      <alignment horizontal="center"/>
    </xf>
    <xf numFmtId="0" fontId="1" fillId="0" borderId="27" xfId="0" applyFont="1" applyBorder="1" applyAlignment="1">
      <alignment horizontal="center"/>
    </xf>
    <xf numFmtId="0" fontId="3" fillId="0" borderId="50" xfId="0" applyFont="1" applyBorder="1" applyAlignment="1">
      <alignment horizontal="left"/>
    </xf>
    <xf numFmtId="0" fontId="3" fillId="0" borderId="49" xfId="0" applyFont="1" applyBorder="1" applyAlignment="1">
      <alignment horizontal="left"/>
    </xf>
    <xf numFmtId="0" fontId="3" fillId="0" borderId="51" xfId="0" applyFont="1" applyBorder="1" applyAlignment="1">
      <alignment horizontal="left"/>
    </xf>
    <xf numFmtId="0" fontId="1" fillId="0" borderId="50" xfId="0" applyFont="1" applyBorder="1" applyAlignment="1">
      <alignment horizontal="left" vertical="center"/>
    </xf>
    <xf numFmtId="0" fontId="1" fillId="0" borderId="49" xfId="0" applyFont="1" applyBorder="1" applyAlignment="1">
      <alignment horizontal="left" vertical="center"/>
    </xf>
    <xf numFmtId="0" fontId="1" fillId="0" borderId="51" xfId="0" applyFont="1" applyBorder="1" applyAlignment="1">
      <alignment horizontal="left" vertical="center"/>
    </xf>
    <xf numFmtId="0" fontId="3" fillId="0" borderId="25" xfId="0" applyFont="1" applyBorder="1" applyAlignment="1">
      <alignment horizontal="left"/>
    </xf>
    <xf numFmtId="0" fontId="3" fillId="0" borderId="26" xfId="0" applyFont="1" applyBorder="1" applyAlignment="1">
      <alignment horizontal="left"/>
    </xf>
    <xf numFmtId="0" fontId="3" fillId="0" borderId="27" xfId="0" applyFont="1" applyBorder="1" applyAlignment="1">
      <alignment horizontal="left"/>
    </xf>
    <xf numFmtId="164" fontId="1" fillId="2" borderId="25" xfId="2" applyNumberFormat="1" applyFont="1" applyBorder="1" applyAlignment="1">
      <alignment horizontal="center"/>
    </xf>
    <xf numFmtId="164" fontId="1" fillId="2" borderId="26" xfId="2" applyNumberFormat="1" applyFont="1" applyBorder="1" applyAlignment="1">
      <alignment horizontal="center"/>
    </xf>
    <xf numFmtId="164" fontId="1" fillId="2" borderId="27" xfId="2" applyNumberFormat="1" applyFont="1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23" xfId="0" applyBorder="1" applyAlignment="1">
      <alignment horizontal="left"/>
    </xf>
    <xf numFmtId="0" fontId="0" fillId="0" borderId="35" xfId="0" applyBorder="1" applyAlignment="1">
      <alignment horizontal="left"/>
    </xf>
    <xf numFmtId="0" fontId="3" fillId="0" borderId="36" xfId="0" applyFont="1" applyBorder="1" applyAlignment="1">
      <alignment horizontal="left"/>
    </xf>
    <xf numFmtId="0" fontId="3" fillId="0" borderId="37" xfId="0" applyFont="1" applyBorder="1" applyAlignment="1">
      <alignment horizontal="left"/>
    </xf>
    <xf numFmtId="0" fontId="1" fillId="0" borderId="1" xfId="0" applyFont="1" applyBorder="1" applyAlignment="1">
      <alignment horizontal="left"/>
    </xf>
    <xf numFmtId="0" fontId="1" fillId="0" borderId="38" xfId="0" applyFont="1" applyBorder="1" applyAlignment="1">
      <alignment horizontal="left"/>
    </xf>
    <xf numFmtId="0" fontId="0" fillId="0" borderId="39" xfId="0" applyBorder="1" applyAlignment="1">
      <alignment horizontal="center"/>
    </xf>
    <xf numFmtId="0" fontId="0" fillId="0" borderId="26" xfId="0" applyBorder="1" applyAlignment="1">
      <alignment horizontal="center"/>
    </xf>
    <xf numFmtId="0" fontId="0" fillId="0" borderId="40" xfId="0" applyBorder="1" applyAlignment="1">
      <alignment horizontal="center"/>
    </xf>
    <xf numFmtId="0" fontId="8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0" borderId="69" xfId="0" applyBorder="1" applyAlignment="1">
      <alignment horizontal="center"/>
    </xf>
    <xf numFmtId="0" fontId="3" fillId="0" borderId="28" xfId="0" applyFont="1" applyBorder="1" applyAlignment="1">
      <alignment horizontal="left"/>
    </xf>
    <xf numFmtId="0" fontId="3" fillId="0" borderId="29" xfId="0" applyFont="1" applyBorder="1" applyAlignment="1">
      <alignment horizontal="left"/>
    </xf>
    <xf numFmtId="0" fontId="0" fillId="0" borderId="30" xfId="0" applyBorder="1" applyAlignment="1">
      <alignment horizontal="left"/>
    </xf>
    <xf numFmtId="0" fontId="0" fillId="0" borderId="31" xfId="0" applyBorder="1" applyAlignment="1">
      <alignment horizontal="left"/>
    </xf>
    <xf numFmtId="0" fontId="0" fillId="0" borderId="32" xfId="0" applyBorder="1" applyAlignment="1">
      <alignment horizontal="left"/>
    </xf>
    <xf numFmtId="0" fontId="0" fillId="0" borderId="44" xfId="0" applyBorder="1" applyAlignment="1">
      <alignment horizontal="center"/>
    </xf>
    <xf numFmtId="0" fontId="3" fillId="0" borderId="33" xfId="0" applyFont="1" applyBorder="1" applyAlignment="1">
      <alignment horizontal="left"/>
    </xf>
    <xf numFmtId="0" fontId="3" fillId="0" borderId="34" xfId="0" applyFont="1" applyBorder="1" applyAlignment="1">
      <alignment horizontal="left"/>
    </xf>
    <xf numFmtId="0" fontId="1" fillId="0" borderId="12" xfId="0" applyFont="1" applyBorder="1" applyAlignment="1">
      <alignment horizontal="center" vertical="top"/>
    </xf>
    <xf numFmtId="0" fontId="1" fillId="0" borderId="8" xfId="0" applyFont="1" applyBorder="1" applyAlignment="1">
      <alignment horizontal="center" vertical="top"/>
    </xf>
    <xf numFmtId="0" fontId="1" fillId="0" borderId="0" xfId="0" applyFont="1" applyAlignment="1">
      <alignment horizontal="center" vertical="top"/>
    </xf>
    <xf numFmtId="0" fontId="1" fillId="0" borderId="2" xfId="0" applyFont="1" applyBorder="1" applyAlignment="1">
      <alignment horizontal="center" vertical="top"/>
    </xf>
    <xf numFmtId="0" fontId="1" fillId="0" borderId="9" xfId="0" applyFont="1" applyBorder="1" applyAlignment="1">
      <alignment horizontal="center" vertical="top"/>
    </xf>
    <xf numFmtId="0" fontId="1" fillId="0" borderId="10" xfId="0" applyFont="1" applyBorder="1" applyAlignment="1">
      <alignment horizontal="center" vertical="top"/>
    </xf>
    <xf numFmtId="0" fontId="6" fillId="0" borderId="43" xfId="3" applyBorder="1" applyAlignment="1">
      <alignment horizontal="center"/>
    </xf>
    <xf numFmtId="0" fontId="1" fillId="0" borderId="11" xfId="0" applyFont="1" applyBorder="1" applyAlignment="1">
      <alignment horizontal="center" textRotation="90"/>
    </xf>
    <xf numFmtId="0" fontId="1" fillId="0" borderId="13" xfId="0" applyFont="1" applyBorder="1" applyAlignment="1">
      <alignment horizontal="center" textRotation="90"/>
    </xf>
    <xf numFmtId="0" fontId="1" fillId="0" borderId="45" xfId="0" applyFont="1" applyBorder="1" applyAlignment="1">
      <alignment horizontal="center" textRotation="90"/>
    </xf>
    <xf numFmtId="0" fontId="1" fillId="0" borderId="47" xfId="0" applyFont="1" applyBorder="1" applyAlignment="1">
      <alignment horizontal="center" textRotation="90"/>
    </xf>
    <xf numFmtId="0" fontId="1" fillId="0" borderId="41" xfId="0" applyFont="1" applyBorder="1" applyAlignment="1">
      <alignment horizontal="left" vertical="top"/>
    </xf>
    <xf numFmtId="0" fontId="1" fillId="0" borderId="8" xfId="0" applyFont="1" applyBorder="1" applyAlignment="1">
      <alignment horizontal="left" vertical="top"/>
    </xf>
    <xf numFmtId="0" fontId="1" fillId="0" borderId="44" xfId="0" applyFont="1" applyBorder="1" applyAlignment="1">
      <alignment horizontal="left" vertical="top"/>
    </xf>
    <xf numFmtId="0" fontId="1" fillId="0" borderId="2" xfId="0" applyFont="1" applyBorder="1" applyAlignment="1">
      <alignment horizontal="left" vertical="top"/>
    </xf>
    <xf numFmtId="0" fontId="1" fillId="0" borderId="46" xfId="0" applyFont="1" applyBorder="1" applyAlignment="1">
      <alignment horizontal="left" vertical="top"/>
    </xf>
    <xf numFmtId="0" fontId="1" fillId="0" borderId="10" xfId="0" applyFont="1" applyBorder="1" applyAlignment="1">
      <alignment horizontal="left" vertical="top"/>
    </xf>
    <xf numFmtId="0" fontId="1" fillId="0" borderId="42" xfId="0" applyFont="1" applyBorder="1" applyAlignment="1">
      <alignment horizontal="center" vertical="top"/>
    </xf>
    <xf numFmtId="0" fontId="1" fillId="0" borderId="11" xfId="0" applyFont="1" applyBorder="1" applyAlignment="1">
      <alignment horizontal="center" vertical="top"/>
    </xf>
    <xf numFmtId="0" fontId="1" fillId="0" borderId="13" xfId="0" applyFont="1" applyBorder="1" applyAlignment="1">
      <alignment horizontal="center" vertical="top"/>
    </xf>
    <xf numFmtId="14" fontId="0" fillId="0" borderId="33" xfId="0" applyNumberFormat="1" applyBorder="1" applyAlignment="1">
      <alignment horizontal="center"/>
    </xf>
    <xf numFmtId="0" fontId="0" fillId="0" borderId="23" xfId="0" applyBorder="1" applyAlignment="1">
      <alignment horizontal="center"/>
    </xf>
    <xf numFmtId="0" fontId="0" fillId="0" borderId="24" xfId="0" applyBorder="1" applyAlignment="1">
      <alignment horizontal="left"/>
    </xf>
    <xf numFmtId="14" fontId="0" fillId="0" borderId="48" xfId="0" applyNumberFormat="1" applyBorder="1" applyAlignment="1">
      <alignment horizontal="center"/>
    </xf>
    <xf numFmtId="0" fontId="0" fillId="0" borderId="49" xfId="0" applyBorder="1" applyAlignment="1">
      <alignment horizontal="center"/>
    </xf>
    <xf numFmtId="0" fontId="0" fillId="0" borderId="49" xfId="0" applyBorder="1" applyAlignment="1">
      <alignment horizontal="left"/>
    </xf>
    <xf numFmtId="0" fontId="0" fillId="0" borderId="51" xfId="0" applyBorder="1" applyAlignment="1">
      <alignment horizontal="left"/>
    </xf>
    <xf numFmtId="14" fontId="0" fillId="0" borderId="24" xfId="0" applyNumberFormat="1" applyBorder="1" applyAlignment="1">
      <alignment horizontal="center"/>
    </xf>
    <xf numFmtId="0" fontId="0" fillId="0" borderId="24" xfId="0" applyBorder="1" applyAlignment="1">
      <alignment horizontal="center"/>
    </xf>
    <xf numFmtId="0" fontId="0" fillId="0" borderId="33" xfId="0" applyBorder="1" applyAlignment="1">
      <alignment horizontal="center"/>
    </xf>
    <xf numFmtId="0" fontId="0" fillId="0" borderId="55" xfId="0" applyBorder="1" applyAlignment="1">
      <alignment horizontal="center"/>
    </xf>
    <xf numFmtId="0" fontId="0" fillId="0" borderId="4" xfId="0" applyBorder="1" applyAlignment="1">
      <alignment horizontal="center"/>
    </xf>
    <xf numFmtId="0" fontId="5" fillId="2" borderId="58" xfId="2" applyBorder="1" applyAlignment="1">
      <alignment horizontal="center"/>
    </xf>
    <xf numFmtId="0" fontId="5" fillId="2" borderId="59" xfId="2" applyBorder="1" applyAlignment="1">
      <alignment horizontal="center"/>
    </xf>
    <xf numFmtId="0" fontId="5" fillId="2" borderId="61" xfId="2" applyBorder="1" applyAlignment="1">
      <alignment horizontal="center"/>
    </xf>
    <xf numFmtId="0" fontId="5" fillId="2" borderId="60" xfId="2" applyBorder="1" applyAlignment="1">
      <alignment horizontal="center"/>
    </xf>
    <xf numFmtId="0" fontId="0" fillId="0" borderId="23" xfId="0" applyBorder="1"/>
    <xf numFmtId="0" fontId="0" fillId="0" borderId="24" xfId="0" applyBorder="1"/>
    <xf numFmtId="20" fontId="0" fillId="0" borderId="49" xfId="0" applyNumberFormat="1" applyBorder="1"/>
    <xf numFmtId="20" fontId="0" fillId="0" borderId="23" xfId="0" applyNumberFormat="1" applyBorder="1"/>
    <xf numFmtId="0" fontId="1" fillId="0" borderId="0" xfId="0" applyFont="1" applyBorder="1" applyAlignment="1">
      <alignment horizontal="center" vertical="top"/>
    </xf>
    <xf numFmtId="0" fontId="0" fillId="0" borderId="1" xfId="0" applyBorder="1" applyAlignment="1">
      <alignment horizontal="left"/>
    </xf>
    <xf numFmtId="0" fontId="0" fillId="0" borderId="3" xfId="0" applyBorder="1" applyAlignment="1">
      <alignment horizontal="left"/>
    </xf>
  </cellXfs>
  <cellStyles count="4">
    <cellStyle name="Calculation" xfId="2" builtinId="22"/>
    <cellStyle name="Linked Cell" xfId="3" builtinId="24"/>
    <cellStyle name="Normal" xfId="0" builtinId="0"/>
    <cellStyle name="Output" xfId="1" builtinId="2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17/10/relationships/person" Target="persons/perso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518160</xdr:colOff>
      <xdr:row>2</xdr:row>
      <xdr:rowOff>53340</xdr:rowOff>
    </xdr:from>
    <xdr:to>
      <xdr:col>22</xdr:col>
      <xdr:colOff>129540</xdr:colOff>
      <xdr:row>4</xdr:row>
      <xdr:rowOff>144780</xdr:rowOff>
    </xdr:to>
    <xdr:sp macro="[0]!add_SprintData" textlink="">
      <xdr:nvSpPr>
        <xdr:cNvPr id="3" name="Rectangle 2">
          <a:extLst>
            <a:ext uri="{FF2B5EF4-FFF2-40B4-BE49-F238E27FC236}">
              <a16:creationId xmlns:a16="http://schemas.microsoft.com/office/drawing/2014/main" id="{104CC52D-2887-4A7B-A3A5-0374772C2E85}"/>
            </a:ext>
          </a:extLst>
        </xdr:cNvPr>
        <xdr:cNvSpPr/>
      </xdr:nvSpPr>
      <xdr:spPr>
        <a:xfrm>
          <a:off x="11490960" y="426720"/>
          <a:ext cx="2049780" cy="464820"/>
        </a:xfrm>
        <a:prstGeom prst="rect">
          <a:avLst/>
        </a:prstGeom>
        <a:ln>
          <a:noFill/>
        </a:ln>
        <a:effectLst>
          <a:glow rad="101600">
            <a:schemeClr val="accent1">
              <a:satMod val="175000"/>
              <a:alpha val="40000"/>
            </a:schemeClr>
          </a:glow>
          <a:outerShdw blurRad="190500" dist="228600" dir="2700000" algn="ctr">
            <a:srgbClr val="000000">
              <a:alpha val="30000"/>
            </a:srgbClr>
          </a:outerShdw>
        </a:effectLst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de-AT" sz="1100" b="1">
              <a:solidFill>
                <a:schemeClr val="bg1"/>
              </a:solidFill>
            </a:rPr>
            <a:t>Add Sprint</a:t>
          </a:r>
          <a:r>
            <a:rPr lang="de-AT" sz="1100" b="1" baseline="0">
              <a:solidFill>
                <a:schemeClr val="bg1"/>
              </a:solidFill>
            </a:rPr>
            <a:t> Data to "Übersicht"</a:t>
          </a:r>
          <a:endParaRPr lang="de-AT" sz="1100" b="1">
            <a:solidFill>
              <a:schemeClr val="bg1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502920</xdr:colOff>
      <xdr:row>2</xdr:row>
      <xdr:rowOff>60960</xdr:rowOff>
    </xdr:from>
    <xdr:to>
      <xdr:col>6</xdr:col>
      <xdr:colOff>114300</xdr:colOff>
      <xdr:row>4</xdr:row>
      <xdr:rowOff>160020</xdr:rowOff>
    </xdr:to>
    <xdr:sp macro="[0]!add_Sprint" textlink="">
      <xdr:nvSpPr>
        <xdr:cNvPr id="2" name="Rectangle 1">
          <a:extLst>
            <a:ext uri="{FF2B5EF4-FFF2-40B4-BE49-F238E27FC236}">
              <a16:creationId xmlns:a16="http://schemas.microsoft.com/office/drawing/2014/main" id="{A21F6FD6-0558-4D05-BDA5-33FDC14B6073}"/>
            </a:ext>
          </a:extLst>
        </xdr:cNvPr>
        <xdr:cNvSpPr/>
      </xdr:nvSpPr>
      <xdr:spPr>
        <a:xfrm>
          <a:off x="1722120" y="426720"/>
          <a:ext cx="2049780" cy="464820"/>
        </a:xfrm>
        <a:prstGeom prst="rect">
          <a:avLst/>
        </a:prstGeom>
        <a:ln>
          <a:noFill/>
        </a:ln>
        <a:effectLst>
          <a:glow rad="139700">
            <a:schemeClr val="accent1">
              <a:satMod val="175000"/>
              <a:alpha val="40000"/>
            </a:schemeClr>
          </a:glow>
          <a:outerShdw blurRad="190500" dist="228600" dir="2700000" algn="ctr">
            <a:srgbClr val="000000">
              <a:alpha val="30000"/>
            </a:srgbClr>
          </a:outerShdw>
        </a:effectLst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de-AT" sz="1100" b="1">
              <a:solidFill>
                <a:schemeClr val="bg1"/>
              </a:solidFill>
            </a:rPr>
            <a:t>Add</a:t>
          </a:r>
          <a:r>
            <a:rPr lang="de-AT" sz="1100" b="1" baseline="0">
              <a:solidFill>
                <a:schemeClr val="bg1"/>
              </a:solidFill>
            </a:rPr>
            <a:t> new Sprint</a:t>
          </a:r>
          <a:endParaRPr lang="de-AT" sz="1100" b="1">
            <a:solidFill>
              <a:schemeClr val="bg1"/>
            </a:solidFill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510540</xdr:colOff>
      <xdr:row>2</xdr:row>
      <xdr:rowOff>68580</xdr:rowOff>
    </xdr:from>
    <xdr:to>
      <xdr:col>22</xdr:col>
      <xdr:colOff>121920</xdr:colOff>
      <xdr:row>4</xdr:row>
      <xdr:rowOff>160020</xdr:rowOff>
    </xdr:to>
    <xdr:sp macro="[0]!add_SprintData" textlink="">
      <xdr:nvSpPr>
        <xdr:cNvPr id="2" name="Rectangle 1">
          <a:extLst>
            <a:ext uri="{FF2B5EF4-FFF2-40B4-BE49-F238E27FC236}">
              <a16:creationId xmlns:a16="http://schemas.microsoft.com/office/drawing/2014/main" id="{5BE55160-F8A2-C388-212D-404412A9DD1E}"/>
            </a:ext>
          </a:extLst>
        </xdr:cNvPr>
        <xdr:cNvSpPr/>
      </xdr:nvSpPr>
      <xdr:spPr>
        <a:xfrm>
          <a:off x="11483340" y="441960"/>
          <a:ext cx="2049780" cy="464820"/>
        </a:xfrm>
        <a:prstGeom prst="rect">
          <a:avLst/>
        </a:prstGeom>
        <a:ln>
          <a:noFill/>
        </a:ln>
        <a:effectLst>
          <a:glow rad="101600">
            <a:schemeClr val="accent1">
              <a:satMod val="175000"/>
              <a:alpha val="40000"/>
            </a:schemeClr>
          </a:glow>
          <a:outerShdw blurRad="190500" dist="228600" dir="2700000" algn="ctr">
            <a:srgbClr val="000000">
              <a:alpha val="30000"/>
            </a:srgbClr>
          </a:outerShdw>
        </a:effectLst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de-AT" sz="1100" b="1">
              <a:solidFill>
                <a:schemeClr val="bg1"/>
              </a:solidFill>
            </a:rPr>
            <a:t>Add Sprint</a:t>
          </a:r>
          <a:r>
            <a:rPr lang="de-AT" sz="1100" b="1" baseline="0">
              <a:solidFill>
                <a:schemeClr val="bg1"/>
              </a:solidFill>
            </a:rPr>
            <a:t> Data to "Übersicht"</a:t>
          </a:r>
          <a:endParaRPr lang="de-AT" sz="1100" b="1">
            <a:solidFill>
              <a:schemeClr val="bg1"/>
            </a:solidFill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518160</xdr:colOff>
      <xdr:row>2</xdr:row>
      <xdr:rowOff>53340</xdr:rowOff>
    </xdr:from>
    <xdr:to>
      <xdr:col>22</xdr:col>
      <xdr:colOff>129540</xdr:colOff>
      <xdr:row>4</xdr:row>
      <xdr:rowOff>144780</xdr:rowOff>
    </xdr:to>
    <xdr:sp macro="[0]!add_SprintData" textlink="">
      <xdr:nvSpPr>
        <xdr:cNvPr id="2" name="Rectangle 1">
          <a:extLst>
            <a:ext uri="{FF2B5EF4-FFF2-40B4-BE49-F238E27FC236}">
              <a16:creationId xmlns:a16="http://schemas.microsoft.com/office/drawing/2014/main" id="{D5C6732C-8379-479C-95E8-6B7F7347C5D2}"/>
            </a:ext>
          </a:extLst>
        </xdr:cNvPr>
        <xdr:cNvSpPr/>
      </xdr:nvSpPr>
      <xdr:spPr>
        <a:xfrm>
          <a:off x="11433810" y="443865"/>
          <a:ext cx="2049780" cy="481965"/>
        </a:xfrm>
        <a:prstGeom prst="rect">
          <a:avLst/>
        </a:prstGeom>
        <a:ln>
          <a:noFill/>
        </a:ln>
        <a:effectLst>
          <a:glow rad="101600">
            <a:schemeClr val="accent1">
              <a:satMod val="175000"/>
              <a:alpha val="40000"/>
            </a:schemeClr>
          </a:glow>
          <a:outerShdw blurRad="190500" dist="228600" dir="2700000" algn="ctr">
            <a:srgbClr val="000000">
              <a:alpha val="30000"/>
            </a:srgbClr>
          </a:outerShdw>
        </a:effectLst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de-AT" sz="1100" b="1">
              <a:solidFill>
                <a:schemeClr val="bg1"/>
              </a:solidFill>
            </a:rPr>
            <a:t>Add Sprint</a:t>
          </a:r>
          <a:r>
            <a:rPr lang="de-AT" sz="1100" b="1" baseline="0">
              <a:solidFill>
                <a:schemeClr val="bg1"/>
              </a:solidFill>
            </a:rPr>
            <a:t> Data to "Übersicht"</a:t>
          </a:r>
          <a:endParaRPr lang="de-AT" sz="1100" b="1">
            <a:solidFill>
              <a:schemeClr val="bg1"/>
            </a:solidFill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518160</xdr:colOff>
      <xdr:row>2</xdr:row>
      <xdr:rowOff>53340</xdr:rowOff>
    </xdr:from>
    <xdr:to>
      <xdr:col>22</xdr:col>
      <xdr:colOff>129540</xdr:colOff>
      <xdr:row>4</xdr:row>
      <xdr:rowOff>144780</xdr:rowOff>
    </xdr:to>
    <xdr:sp macro="[0]!add_SprintData" textlink="">
      <xdr:nvSpPr>
        <xdr:cNvPr id="2" name="Rectangle 1">
          <a:extLst>
            <a:ext uri="{FF2B5EF4-FFF2-40B4-BE49-F238E27FC236}">
              <a16:creationId xmlns:a16="http://schemas.microsoft.com/office/drawing/2014/main" id="{A5EA9658-6FE7-5740-B06D-6203A5F23276}"/>
            </a:ext>
          </a:extLst>
        </xdr:cNvPr>
        <xdr:cNvSpPr/>
      </xdr:nvSpPr>
      <xdr:spPr>
        <a:xfrm>
          <a:off x="12633960" y="447040"/>
          <a:ext cx="2303780" cy="485140"/>
        </a:xfrm>
        <a:prstGeom prst="rect">
          <a:avLst/>
        </a:prstGeom>
        <a:ln>
          <a:noFill/>
        </a:ln>
        <a:effectLst>
          <a:glow rad="101600">
            <a:schemeClr val="accent1">
              <a:satMod val="175000"/>
              <a:alpha val="40000"/>
            </a:schemeClr>
          </a:glow>
          <a:outerShdw blurRad="190500" dist="228600" dir="2700000" algn="ctr">
            <a:srgbClr val="000000">
              <a:alpha val="30000"/>
            </a:srgbClr>
          </a:outerShdw>
        </a:effectLst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de-AT" sz="1100" b="1">
              <a:solidFill>
                <a:schemeClr val="bg1"/>
              </a:solidFill>
            </a:rPr>
            <a:t>Add Sprint</a:t>
          </a:r>
          <a:r>
            <a:rPr lang="de-AT" sz="1100" b="1" baseline="0">
              <a:solidFill>
                <a:schemeClr val="bg1"/>
              </a:solidFill>
            </a:rPr>
            <a:t> Data to "Übersicht"</a:t>
          </a:r>
          <a:endParaRPr lang="de-AT" sz="1100" b="1">
            <a:solidFill>
              <a:schemeClr val="bg1"/>
            </a:solidFill>
          </a:endParaRPr>
        </a:p>
      </xdr:txBody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21D16B-D6FF-4555-92BD-1B03FCC9FF03}">
  <sheetPr codeName="Sheet2"/>
  <dimension ref="A1:I13"/>
  <sheetViews>
    <sheetView workbookViewId="0">
      <selection sqref="A1:I12"/>
    </sheetView>
  </sheetViews>
  <sheetFormatPr defaultColWidth="8.77734375" defaultRowHeight="14.4" x14ac:dyDescent="0.3"/>
  <sheetData>
    <row r="1" spans="1:9" x14ac:dyDescent="0.3">
      <c r="A1" s="26"/>
      <c r="B1" s="27"/>
      <c r="C1" s="27"/>
      <c r="D1" s="27"/>
      <c r="E1" s="27"/>
      <c r="F1" s="27"/>
      <c r="G1" s="27"/>
      <c r="H1" s="27"/>
      <c r="I1" s="28"/>
    </row>
    <row r="2" spans="1:9" ht="15" thickBot="1" x14ac:dyDescent="0.35">
      <c r="A2" s="29"/>
      <c r="B2" s="30"/>
      <c r="C2" s="30"/>
      <c r="D2" s="30"/>
      <c r="E2" s="30"/>
      <c r="F2" s="30"/>
      <c r="G2" s="30"/>
      <c r="H2" s="30"/>
      <c r="I2" s="31"/>
    </row>
    <row r="3" spans="1:9" ht="15" thickBot="1" x14ac:dyDescent="0.35">
      <c r="A3" s="32" t="s">
        <v>45</v>
      </c>
      <c r="B3" s="33"/>
      <c r="C3" s="33"/>
      <c r="D3" s="33"/>
      <c r="E3" s="33"/>
      <c r="F3" s="33"/>
      <c r="G3" s="33"/>
      <c r="H3" s="33"/>
      <c r="I3" s="34"/>
    </row>
    <row r="4" spans="1:9" ht="15.6" thickTop="1" thickBot="1" x14ac:dyDescent="0.35">
      <c r="A4" s="35">
        <f>D9+D12</f>
        <v>1.566666666666666</v>
      </c>
      <c r="B4" s="36"/>
      <c r="C4" s="36"/>
      <c r="D4" s="36"/>
      <c r="E4" s="36"/>
      <c r="F4" s="36"/>
      <c r="G4" s="36"/>
      <c r="H4" s="36"/>
      <c r="I4" s="37"/>
    </row>
    <row r="5" spans="1:9" ht="15" thickBot="1" x14ac:dyDescent="0.35">
      <c r="A5" s="38"/>
      <c r="B5" s="39"/>
      <c r="C5" s="39"/>
      <c r="D5" s="39"/>
      <c r="E5" s="39"/>
      <c r="F5" s="39"/>
      <c r="G5" s="39"/>
      <c r="H5" s="39"/>
      <c r="I5" s="40"/>
    </row>
    <row r="6" spans="1:9" ht="15" thickBot="1" x14ac:dyDescent="0.35">
      <c r="A6" s="32" t="s">
        <v>1</v>
      </c>
      <c r="B6" s="33"/>
      <c r="C6" s="33"/>
      <c r="D6" s="33"/>
      <c r="E6" s="33"/>
      <c r="F6" s="33"/>
      <c r="G6" s="33"/>
      <c r="H6" s="33"/>
      <c r="I6" s="34"/>
    </row>
    <row r="7" spans="1:9" ht="15" thickTop="1" x14ac:dyDescent="0.3">
      <c r="A7" s="23"/>
      <c r="B7" s="24"/>
      <c r="C7" s="25"/>
      <c r="D7" s="23"/>
      <c r="E7" s="24"/>
      <c r="F7" s="24"/>
      <c r="G7" s="24"/>
      <c r="H7" s="24"/>
      <c r="I7" s="25"/>
    </row>
    <row r="8" spans="1:9" x14ac:dyDescent="0.3">
      <c r="A8" s="41" t="s">
        <v>2</v>
      </c>
      <c r="B8" s="42"/>
      <c r="C8" s="43"/>
      <c r="D8" s="44" t="s">
        <v>3</v>
      </c>
      <c r="E8" s="45"/>
      <c r="F8" s="45"/>
      <c r="G8" s="45"/>
      <c r="H8" s="45"/>
      <c r="I8" s="46"/>
    </row>
    <row r="9" spans="1:9" x14ac:dyDescent="0.3">
      <c r="A9" s="47" t="s">
        <v>4</v>
      </c>
      <c r="B9" s="48"/>
      <c r="C9" s="49"/>
      <c r="D9" s="50">
        <f>'Sprint 1'!I50</f>
        <v>0.87777777777777743</v>
      </c>
      <c r="E9" s="51"/>
      <c r="F9" s="51"/>
      <c r="G9" s="51"/>
      <c r="H9" s="51"/>
      <c r="I9" s="52"/>
    </row>
    <row r="10" spans="1:9" ht="15" thickBot="1" x14ac:dyDescent="0.35">
      <c r="A10" s="53"/>
      <c r="B10" s="54"/>
      <c r="C10" s="55"/>
      <c r="D10" s="53"/>
      <c r="E10" s="54"/>
      <c r="F10" s="54"/>
      <c r="G10" s="54"/>
      <c r="H10" s="54"/>
      <c r="I10" s="55"/>
    </row>
    <row r="11" spans="1:9" x14ac:dyDescent="0.3">
      <c r="A11" s="56" t="s">
        <v>2</v>
      </c>
      <c r="B11" s="57"/>
      <c r="C11" s="58"/>
      <c r="D11" s="59" t="s">
        <v>5</v>
      </c>
      <c r="E11" s="60"/>
      <c r="F11" s="60"/>
      <c r="G11" s="60"/>
      <c r="H11" s="60"/>
      <c r="I11" s="61"/>
    </row>
    <row r="12" spans="1:9" ht="15" thickBot="1" x14ac:dyDescent="0.35">
      <c r="A12" s="62" t="s">
        <v>4</v>
      </c>
      <c r="B12" s="63"/>
      <c r="C12" s="64"/>
      <c r="D12" s="65">
        <f>'Sprint 1'!R50</f>
        <v>0.68888888888888866</v>
      </c>
      <c r="E12" s="66"/>
      <c r="F12" s="66"/>
      <c r="G12" s="66"/>
      <c r="H12" s="66"/>
      <c r="I12" s="67"/>
    </row>
    <row r="13" spans="1:9" x14ac:dyDescent="0.3">
      <c r="A13" s="68"/>
      <c r="B13" s="68"/>
      <c r="C13" s="68"/>
      <c r="D13" s="68"/>
      <c r="E13" s="68"/>
      <c r="F13" s="68"/>
      <c r="G13" s="68"/>
      <c r="H13" s="68"/>
      <c r="I13" s="68"/>
    </row>
  </sheetData>
  <mergeCells count="18">
    <mergeCell ref="A11:C11"/>
    <mergeCell ref="D11:I11"/>
    <mergeCell ref="A12:C12"/>
    <mergeCell ref="D12:I12"/>
    <mergeCell ref="A13:I13"/>
    <mergeCell ref="A8:C8"/>
    <mergeCell ref="D8:I8"/>
    <mergeCell ref="A9:C9"/>
    <mergeCell ref="D9:I9"/>
    <mergeCell ref="A10:C10"/>
    <mergeCell ref="D10:I10"/>
    <mergeCell ref="A7:C7"/>
    <mergeCell ref="D7:I7"/>
    <mergeCell ref="A1:I2"/>
    <mergeCell ref="A3:I3"/>
    <mergeCell ref="A4:I4"/>
    <mergeCell ref="A5:I5"/>
    <mergeCell ref="A6:I6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15F275-6842-4FA0-8EDD-A56D9D066272}">
  <sheetPr codeName="Sheet5"/>
  <dimension ref="A1:W51"/>
  <sheetViews>
    <sheetView topLeftCell="A21" zoomScale="85" zoomScaleNormal="85" workbookViewId="0">
      <selection activeCell="R17" sqref="R17"/>
    </sheetView>
  </sheetViews>
  <sheetFormatPr defaultColWidth="8.77734375" defaultRowHeight="14.4" x14ac:dyDescent="0.3"/>
  <cols>
    <col min="4" max="6" width="8.77734375" style="15"/>
  </cols>
  <sheetData>
    <row r="1" spans="1:23" x14ac:dyDescent="0.3">
      <c r="A1" s="78"/>
      <c r="B1" s="79"/>
      <c r="C1" s="79"/>
      <c r="D1" s="79"/>
      <c r="E1" s="79"/>
      <c r="F1" s="79"/>
      <c r="G1" s="79"/>
      <c r="H1" s="79"/>
      <c r="I1" s="79"/>
      <c r="J1" s="79"/>
      <c r="K1" s="79"/>
      <c r="L1" s="79"/>
      <c r="M1" s="79"/>
      <c r="N1" s="79"/>
      <c r="O1" s="79"/>
      <c r="P1" s="79"/>
      <c r="Q1" s="79"/>
      <c r="R1" s="79"/>
      <c r="S1" s="78" t="s">
        <v>46</v>
      </c>
      <c r="T1" s="79"/>
      <c r="U1" s="79"/>
      <c r="V1" s="79"/>
      <c r="W1" s="79"/>
    </row>
    <row r="2" spans="1:23" ht="15" thickBot="1" x14ac:dyDescent="0.35">
      <c r="A2" s="80"/>
      <c r="B2" s="80"/>
      <c r="C2" s="80"/>
      <c r="D2" s="80"/>
      <c r="E2" s="80"/>
      <c r="F2" s="80"/>
      <c r="G2" s="80"/>
      <c r="H2" s="80"/>
      <c r="I2" s="80"/>
      <c r="J2" s="80"/>
      <c r="K2" s="80"/>
      <c r="L2" s="80"/>
      <c r="M2" s="80"/>
      <c r="N2" s="80"/>
      <c r="O2" s="80"/>
      <c r="P2" s="80"/>
      <c r="Q2" s="80"/>
      <c r="R2" s="80"/>
      <c r="S2" s="79"/>
      <c r="T2" s="79"/>
      <c r="U2" s="79"/>
      <c r="V2" s="79"/>
      <c r="W2" s="79"/>
    </row>
    <row r="3" spans="1:23" ht="15" thickTop="1" x14ac:dyDescent="0.3">
      <c r="A3" s="81" t="s">
        <v>6</v>
      </c>
      <c r="B3" s="82"/>
      <c r="C3" s="83"/>
      <c r="D3" s="84"/>
      <c r="E3" s="84"/>
      <c r="F3" s="84"/>
      <c r="G3" s="84"/>
      <c r="H3" s="84"/>
      <c r="I3" s="85"/>
      <c r="J3" s="81" t="s">
        <v>6</v>
      </c>
      <c r="K3" s="82"/>
      <c r="L3" s="83"/>
      <c r="M3" s="84"/>
      <c r="N3" s="84"/>
      <c r="O3" s="84"/>
      <c r="P3" s="84"/>
      <c r="Q3" s="84"/>
      <c r="R3" s="85"/>
      <c r="S3" s="86"/>
      <c r="T3" s="79"/>
      <c r="U3" s="79"/>
      <c r="V3" s="79"/>
      <c r="W3" s="79"/>
    </row>
    <row r="4" spans="1:23" x14ac:dyDescent="0.3">
      <c r="A4" s="87" t="s">
        <v>7</v>
      </c>
      <c r="B4" s="88"/>
      <c r="C4" s="69" t="s">
        <v>44</v>
      </c>
      <c r="D4" s="69"/>
      <c r="E4" s="69"/>
      <c r="F4" s="69"/>
      <c r="G4" s="69"/>
      <c r="H4" s="69"/>
      <c r="I4" s="70"/>
      <c r="J4" s="87" t="s">
        <v>7</v>
      </c>
      <c r="K4" s="88"/>
      <c r="L4" s="69" t="s">
        <v>44</v>
      </c>
      <c r="M4" s="69"/>
      <c r="N4" s="69"/>
      <c r="O4" s="69"/>
      <c r="P4" s="69"/>
      <c r="Q4" s="69"/>
      <c r="R4" s="70"/>
      <c r="S4" s="86"/>
      <c r="T4" s="79"/>
      <c r="U4" s="79"/>
      <c r="V4" s="79"/>
      <c r="W4" s="79"/>
    </row>
    <row r="5" spans="1:23" x14ac:dyDescent="0.3">
      <c r="A5" s="71" t="s">
        <v>2</v>
      </c>
      <c r="B5" s="72"/>
      <c r="C5" s="73" t="s">
        <v>3</v>
      </c>
      <c r="D5" s="73"/>
      <c r="E5" s="73"/>
      <c r="F5" s="73"/>
      <c r="G5" s="73"/>
      <c r="H5" s="73"/>
      <c r="I5" s="74"/>
      <c r="J5" s="71" t="s">
        <v>2</v>
      </c>
      <c r="K5" s="72"/>
      <c r="L5" s="73" t="s">
        <v>5</v>
      </c>
      <c r="M5" s="73"/>
      <c r="N5" s="73"/>
      <c r="O5" s="73"/>
      <c r="P5" s="73"/>
      <c r="Q5" s="73"/>
      <c r="R5" s="74"/>
      <c r="S5" s="86"/>
      <c r="T5" s="79"/>
      <c r="U5" s="79"/>
      <c r="V5" s="79"/>
      <c r="W5" s="79"/>
    </row>
    <row r="6" spans="1:23" ht="15" thickBot="1" x14ac:dyDescent="0.35">
      <c r="A6" s="75"/>
      <c r="B6" s="76"/>
      <c r="C6" s="76"/>
      <c r="D6" s="76"/>
      <c r="E6" s="76"/>
      <c r="F6" s="76"/>
      <c r="G6" s="76"/>
      <c r="H6" s="76"/>
      <c r="I6" s="77"/>
      <c r="J6" s="75"/>
      <c r="K6" s="76"/>
      <c r="L6" s="76"/>
      <c r="M6" s="76"/>
      <c r="N6" s="76"/>
      <c r="O6" s="76"/>
      <c r="P6" s="76"/>
      <c r="Q6" s="76"/>
      <c r="R6" s="77"/>
      <c r="S6" s="86"/>
      <c r="T6" s="79"/>
      <c r="U6" s="79"/>
      <c r="V6" s="79"/>
      <c r="W6" s="79"/>
    </row>
    <row r="7" spans="1:23" ht="15" thickBot="1" x14ac:dyDescent="0.35">
      <c r="A7" s="100" t="s">
        <v>8</v>
      </c>
      <c r="B7" s="101"/>
      <c r="C7" s="106" t="s">
        <v>43</v>
      </c>
      <c r="D7" s="89" t="s">
        <v>9</v>
      </c>
      <c r="E7" s="89"/>
      <c r="F7" s="90"/>
      <c r="G7" s="32" t="s">
        <v>10</v>
      </c>
      <c r="H7" s="33"/>
      <c r="I7" s="95"/>
      <c r="J7" s="100" t="s">
        <v>8</v>
      </c>
      <c r="K7" s="101"/>
      <c r="L7" s="106" t="s">
        <v>43</v>
      </c>
      <c r="M7" s="89" t="s">
        <v>9</v>
      </c>
      <c r="N7" s="89"/>
      <c r="O7" s="90"/>
      <c r="P7" s="32" t="s">
        <v>10</v>
      </c>
      <c r="Q7" s="33"/>
      <c r="R7" s="95"/>
      <c r="S7" s="86"/>
      <c r="T7" s="79"/>
      <c r="U7" s="79"/>
      <c r="V7" s="79"/>
      <c r="W7" s="79"/>
    </row>
    <row r="8" spans="1:23" ht="15" thickTop="1" x14ac:dyDescent="0.3">
      <c r="A8" s="102"/>
      <c r="B8" s="103"/>
      <c r="C8" s="107"/>
      <c r="D8" s="91"/>
      <c r="E8" s="91"/>
      <c r="F8" s="92"/>
      <c r="G8" s="96" t="s">
        <v>11</v>
      </c>
      <c r="H8" s="96" t="s">
        <v>12</v>
      </c>
      <c r="I8" s="98" t="s">
        <v>13</v>
      </c>
      <c r="J8" s="102"/>
      <c r="K8" s="103"/>
      <c r="L8" s="107"/>
      <c r="M8" s="91"/>
      <c r="N8" s="91"/>
      <c r="O8" s="92"/>
      <c r="P8" s="96" t="s">
        <v>11</v>
      </c>
      <c r="Q8" s="96" t="s">
        <v>12</v>
      </c>
      <c r="R8" s="98" t="s">
        <v>13</v>
      </c>
      <c r="S8" s="86"/>
      <c r="T8" s="79"/>
      <c r="U8" s="79"/>
      <c r="V8" s="79"/>
      <c r="W8" s="79"/>
    </row>
    <row r="9" spans="1:23" x14ac:dyDescent="0.3">
      <c r="A9" s="102"/>
      <c r="B9" s="103"/>
      <c r="C9" s="107"/>
      <c r="D9" s="91"/>
      <c r="E9" s="91"/>
      <c r="F9" s="92"/>
      <c r="G9" s="96"/>
      <c r="H9" s="96"/>
      <c r="I9" s="98"/>
      <c r="J9" s="102"/>
      <c r="K9" s="103"/>
      <c r="L9" s="107"/>
      <c r="M9" s="91"/>
      <c r="N9" s="91"/>
      <c r="O9" s="92"/>
      <c r="P9" s="96"/>
      <c r="Q9" s="96"/>
      <c r="R9" s="98"/>
      <c r="S9" s="86"/>
      <c r="T9" s="79"/>
      <c r="U9" s="79"/>
      <c r="V9" s="79"/>
      <c r="W9" s="79"/>
    </row>
    <row r="10" spans="1:23" x14ac:dyDescent="0.3">
      <c r="A10" s="102"/>
      <c r="B10" s="103"/>
      <c r="C10" s="107"/>
      <c r="D10" s="91"/>
      <c r="E10" s="91"/>
      <c r="F10" s="92"/>
      <c r="G10" s="96"/>
      <c r="H10" s="96"/>
      <c r="I10" s="98"/>
      <c r="J10" s="102"/>
      <c r="K10" s="103"/>
      <c r="L10" s="107"/>
      <c r="M10" s="91"/>
      <c r="N10" s="91"/>
      <c r="O10" s="92"/>
      <c r="P10" s="96"/>
      <c r="Q10" s="96"/>
      <c r="R10" s="98"/>
      <c r="S10" s="86"/>
      <c r="T10" s="79"/>
      <c r="U10" s="79"/>
      <c r="V10" s="79"/>
      <c r="W10" s="79"/>
    </row>
    <row r="11" spans="1:23" ht="15" thickBot="1" x14ac:dyDescent="0.35">
      <c r="A11" s="104"/>
      <c r="B11" s="105"/>
      <c r="C11" s="108"/>
      <c r="D11" s="93"/>
      <c r="E11" s="93"/>
      <c r="F11" s="94"/>
      <c r="G11" s="97"/>
      <c r="H11" s="97"/>
      <c r="I11" s="99"/>
      <c r="J11" s="104"/>
      <c r="K11" s="105"/>
      <c r="L11" s="108"/>
      <c r="M11" s="93"/>
      <c r="N11" s="93"/>
      <c r="O11" s="94"/>
      <c r="P11" s="97"/>
      <c r="Q11" s="97"/>
      <c r="R11" s="99"/>
      <c r="S11" s="86"/>
      <c r="T11" s="79"/>
      <c r="U11" s="79"/>
      <c r="V11" s="79"/>
      <c r="W11" s="79"/>
    </row>
    <row r="12" spans="1:23" x14ac:dyDescent="0.3">
      <c r="A12" s="112"/>
      <c r="B12" s="113"/>
      <c r="C12" s="14"/>
      <c r="D12" s="114"/>
      <c r="E12" s="114"/>
      <c r="F12" s="115"/>
      <c r="G12" s="2"/>
      <c r="H12" s="3"/>
      <c r="I12" s="4">
        <f>H12-G12</f>
        <v>0</v>
      </c>
      <c r="J12" s="112"/>
      <c r="K12" s="113"/>
      <c r="L12" s="14"/>
      <c r="M12" s="69"/>
      <c r="N12" s="69"/>
      <c r="O12" s="111"/>
      <c r="P12" s="2"/>
      <c r="Q12" s="3"/>
      <c r="R12" s="4">
        <f>Q12-P12</f>
        <v>0</v>
      </c>
    </row>
    <row r="13" spans="1:23" x14ac:dyDescent="0.3">
      <c r="A13" s="109"/>
      <c r="B13" s="110"/>
      <c r="C13" s="7"/>
      <c r="D13" s="69"/>
      <c r="E13" s="69"/>
      <c r="F13" s="111"/>
      <c r="G13" s="5"/>
      <c r="H13" s="6"/>
      <c r="I13" s="4">
        <f>H13-G13</f>
        <v>0</v>
      </c>
      <c r="J13" s="109"/>
      <c r="K13" s="110"/>
      <c r="L13" s="7"/>
      <c r="M13" s="69"/>
      <c r="N13" s="69"/>
      <c r="O13" s="111"/>
      <c r="P13" s="5"/>
      <c r="Q13" s="6"/>
      <c r="R13" s="4">
        <f>Q13-P13</f>
        <v>0</v>
      </c>
    </row>
    <row r="14" spans="1:23" x14ac:dyDescent="0.3">
      <c r="A14" s="109"/>
      <c r="B14" s="110"/>
      <c r="C14" s="7"/>
      <c r="D14" s="69"/>
      <c r="E14" s="69"/>
      <c r="F14" s="111"/>
      <c r="G14" s="5"/>
      <c r="H14" s="6"/>
      <c r="I14" s="4">
        <f t="shared" ref="I14:I49" si="0">H14-G14</f>
        <v>0</v>
      </c>
      <c r="J14" s="109"/>
      <c r="K14" s="110"/>
      <c r="L14" s="17"/>
      <c r="M14" s="69"/>
      <c r="N14" s="69"/>
      <c r="O14" s="111"/>
      <c r="P14" s="5"/>
      <c r="Q14" s="6"/>
      <c r="R14" s="4">
        <f t="shared" ref="R14:R40" si="1">Q14-P14</f>
        <v>0</v>
      </c>
    </row>
    <row r="15" spans="1:23" x14ac:dyDescent="0.3">
      <c r="A15" s="109"/>
      <c r="B15" s="110"/>
      <c r="C15" s="7"/>
      <c r="D15" s="69"/>
      <c r="E15" s="69"/>
      <c r="F15" s="111"/>
      <c r="G15" s="5"/>
      <c r="H15" s="6"/>
      <c r="I15" s="4">
        <f t="shared" si="0"/>
        <v>0</v>
      </c>
      <c r="J15" s="109"/>
      <c r="K15" s="110"/>
      <c r="L15" s="7"/>
      <c r="M15" s="69"/>
      <c r="N15" s="69"/>
      <c r="O15" s="111"/>
      <c r="P15" s="5"/>
      <c r="Q15" s="6"/>
      <c r="R15" s="4">
        <f t="shared" si="1"/>
        <v>0</v>
      </c>
    </row>
    <row r="16" spans="1:23" x14ac:dyDescent="0.3">
      <c r="A16" s="109"/>
      <c r="B16" s="110"/>
      <c r="C16" s="7"/>
      <c r="D16" s="69"/>
      <c r="E16" s="69"/>
      <c r="F16" s="111"/>
      <c r="G16" s="5"/>
      <c r="H16" s="6"/>
      <c r="I16" s="4">
        <f t="shared" si="0"/>
        <v>0</v>
      </c>
      <c r="J16" s="109"/>
      <c r="K16" s="116"/>
      <c r="L16" s="7"/>
      <c r="M16" s="69"/>
      <c r="N16" s="69"/>
      <c r="O16" s="111"/>
      <c r="P16" s="5"/>
      <c r="Q16" s="6"/>
      <c r="R16" s="4">
        <f>Q16-P16</f>
        <v>0</v>
      </c>
    </row>
    <row r="17" spans="1:18" x14ac:dyDescent="0.3">
      <c r="A17" s="109"/>
      <c r="B17" s="110"/>
      <c r="C17" s="7"/>
      <c r="D17" s="69"/>
      <c r="E17" s="69"/>
      <c r="F17" s="111"/>
      <c r="G17" s="5"/>
      <c r="H17" s="6"/>
      <c r="I17" s="4">
        <f t="shared" si="0"/>
        <v>0</v>
      </c>
      <c r="J17" s="109"/>
      <c r="K17" s="110"/>
      <c r="L17" s="7"/>
      <c r="M17" s="69"/>
      <c r="N17" s="69"/>
      <c r="O17" s="111"/>
      <c r="P17" s="5"/>
      <c r="Q17" s="6"/>
      <c r="R17" s="4">
        <f t="shared" si="1"/>
        <v>0</v>
      </c>
    </row>
    <row r="18" spans="1:18" x14ac:dyDescent="0.3">
      <c r="A18" s="109"/>
      <c r="B18" s="110"/>
      <c r="C18" s="7"/>
      <c r="D18" s="69"/>
      <c r="E18" s="69"/>
      <c r="F18" s="111"/>
      <c r="G18" s="5"/>
      <c r="H18" s="6"/>
      <c r="I18" s="4">
        <f t="shared" si="0"/>
        <v>0</v>
      </c>
      <c r="J18" s="109"/>
      <c r="K18" s="110"/>
      <c r="L18" s="7"/>
      <c r="M18" s="69"/>
      <c r="N18" s="69"/>
      <c r="O18" s="111"/>
      <c r="P18" s="5"/>
      <c r="Q18" s="6"/>
      <c r="R18" s="4">
        <f t="shared" si="1"/>
        <v>0</v>
      </c>
    </row>
    <row r="19" spans="1:18" x14ac:dyDescent="0.3">
      <c r="A19" s="109"/>
      <c r="B19" s="110"/>
      <c r="C19" s="7"/>
      <c r="D19" s="69"/>
      <c r="E19" s="69"/>
      <c r="F19" s="111"/>
      <c r="G19" s="5"/>
      <c r="H19" s="6"/>
      <c r="I19" s="4">
        <f t="shared" si="0"/>
        <v>0</v>
      </c>
      <c r="J19" s="109"/>
      <c r="K19" s="110"/>
      <c r="L19" s="7"/>
      <c r="M19" s="69"/>
      <c r="N19" s="69"/>
      <c r="O19" s="111"/>
      <c r="P19" s="5"/>
      <c r="Q19" s="6"/>
      <c r="R19" s="4">
        <f>Q19-P19</f>
        <v>0</v>
      </c>
    </row>
    <row r="20" spans="1:18" x14ac:dyDescent="0.3">
      <c r="A20" s="109"/>
      <c r="B20" s="110"/>
      <c r="C20" s="7"/>
      <c r="D20" s="69"/>
      <c r="E20" s="69"/>
      <c r="F20" s="111"/>
      <c r="G20" s="5"/>
      <c r="H20" s="6"/>
      <c r="I20" s="4">
        <f t="shared" si="0"/>
        <v>0</v>
      </c>
      <c r="J20" s="109"/>
      <c r="K20" s="110"/>
      <c r="L20" s="7"/>
      <c r="M20" s="69"/>
      <c r="N20" s="69"/>
      <c r="O20" s="111"/>
      <c r="P20" s="5"/>
      <c r="Q20" s="6"/>
      <c r="R20" s="4">
        <f t="shared" si="1"/>
        <v>0</v>
      </c>
    </row>
    <row r="21" spans="1:18" x14ac:dyDescent="0.3">
      <c r="A21" s="109"/>
      <c r="B21" s="110"/>
      <c r="C21" s="7"/>
      <c r="D21" s="69"/>
      <c r="E21" s="69"/>
      <c r="F21" s="111"/>
      <c r="G21" s="5"/>
      <c r="H21" s="6"/>
      <c r="I21" s="4">
        <f t="shared" si="0"/>
        <v>0</v>
      </c>
      <c r="J21" s="109"/>
      <c r="K21" s="110"/>
      <c r="L21" s="7"/>
      <c r="M21" s="110"/>
      <c r="N21" s="110"/>
      <c r="O21" s="117"/>
      <c r="P21" s="5"/>
      <c r="Q21" s="6"/>
      <c r="R21" s="4">
        <f t="shared" si="1"/>
        <v>0</v>
      </c>
    </row>
    <row r="22" spans="1:18" x14ac:dyDescent="0.3">
      <c r="A22" s="109"/>
      <c r="B22" s="110"/>
      <c r="C22" s="7"/>
      <c r="D22" s="110"/>
      <c r="E22" s="110"/>
      <c r="F22" s="117"/>
      <c r="G22" s="5"/>
      <c r="H22" s="6"/>
      <c r="I22" s="4">
        <f t="shared" si="0"/>
        <v>0</v>
      </c>
      <c r="J22" s="109"/>
      <c r="K22" s="110"/>
      <c r="L22" s="7"/>
      <c r="M22" s="110"/>
      <c r="N22" s="110"/>
      <c r="O22" s="117"/>
      <c r="P22" s="5"/>
      <c r="Q22" s="6"/>
      <c r="R22" s="4">
        <f t="shared" si="1"/>
        <v>0</v>
      </c>
    </row>
    <row r="23" spans="1:18" x14ac:dyDescent="0.3">
      <c r="A23" s="109"/>
      <c r="B23" s="110"/>
      <c r="C23" s="7"/>
      <c r="D23" s="110"/>
      <c r="E23" s="110"/>
      <c r="F23" s="117"/>
      <c r="G23" s="5"/>
      <c r="H23" s="6"/>
      <c r="I23" s="4">
        <f t="shared" si="0"/>
        <v>0</v>
      </c>
      <c r="J23" s="109"/>
      <c r="K23" s="110"/>
      <c r="L23" s="7"/>
      <c r="M23" s="110"/>
      <c r="N23" s="110"/>
      <c r="O23" s="117"/>
      <c r="P23" s="5"/>
      <c r="Q23" s="6"/>
      <c r="R23" s="4">
        <f t="shared" si="1"/>
        <v>0</v>
      </c>
    </row>
    <row r="24" spans="1:18" x14ac:dyDescent="0.3">
      <c r="A24" s="109"/>
      <c r="B24" s="110"/>
      <c r="C24" s="7"/>
      <c r="D24" s="110"/>
      <c r="E24" s="110"/>
      <c r="F24" s="117"/>
      <c r="G24" s="5"/>
      <c r="H24" s="6"/>
      <c r="I24" s="4">
        <f t="shared" si="0"/>
        <v>0</v>
      </c>
      <c r="J24" s="109"/>
      <c r="K24" s="110"/>
      <c r="L24" s="7"/>
      <c r="M24" s="110"/>
      <c r="N24" s="110"/>
      <c r="O24" s="117"/>
      <c r="P24" s="5"/>
      <c r="Q24" s="6"/>
      <c r="R24" s="4">
        <f t="shared" si="1"/>
        <v>0</v>
      </c>
    </row>
    <row r="25" spans="1:18" x14ac:dyDescent="0.3">
      <c r="A25" s="109"/>
      <c r="B25" s="110"/>
      <c r="C25" s="7"/>
      <c r="D25" s="110"/>
      <c r="E25" s="110"/>
      <c r="F25" s="117"/>
      <c r="G25" s="5"/>
      <c r="H25" s="6"/>
      <c r="I25" s="4">
        <f t="shared" si="0"/>
        <v>0</v>
      </c>
      <c r="J25" s="109"/>
      <c r="K25" s="110"/>
      <c r="L25" s="7"/>
      <c r="M25" s="110"/>
      <c r="N25" s="110"/>
      <c r="O25" s="117"/>
      <c r="P25" s="5"/>
      <c r="Q25" s="6"/>
      <c r="R25" s="4">
        <f t="shared" si="1"/>
        <v>0</v>
      </c>
    </row>
    <row r="26" spans="1:18" x14ac:dyDescent="0.3">
      <c r="A26" s="118"/>
      <c r="B26" s="110"/>
      <c r="C26" s="7"/>
      <c r="D26" s="110"/>
      <c r="E26" s="110"/>
      <c r="F26" s="117"/>
      <c r="G26" s="7"/>
      <c r="H26" s="8"/>
      <c r="I26" s="4">
        <f t="shared" si="0"/>
        <v>0</v>
      </c>
      <c r="J26" s="109"/>
      <c r="K26" s="110"/>
      <c r="L26" s="7"/>
      <c r="M26" s="110"/>
      <c r="N26" s="110"/>
      <c r="O26" s="117"/>
      <c r="P26" s="5"/>
      <c r="Q26" s="6"/>
      <c r="R26" s="4">
        <f t="shared" si="1"/>
        <v>0</v>
      </c>
    </row>
    <row r="27" spans="1:18" x14ac:dyDescent="0.3">
      <c r="A27" s="118"/>
      <c r="B27" s="110"/>
      <c r="C27" s="7"/>
      <c r="D27" s="110"/>
      <c r="E27" s="110"/>
      <c r="F27" s="117"/>
      <c r="G27" s="7"/>
      <c r="H27" s="8"/>
      <c r="I27" s="4">
        <f t="shared" si="0"/>
        <v>0</v>
      </c>
      <c r="J27" s="118"/>
      <c r="K27" s="110"/>
      <c r="L27" s="7"/>
      <c r="M27" s="110"/>
      <c r="N27" s="110"/>
      <c r="O27" s="117"/>
      <c r="P27" s="7"/>
      <c r="Q27" s="8"/>
      <c r="R27" s="4">
        <f t="shared" si="1"/>
        <v>0</v>
      </c>
    </row>
    <row r="28" spans="1:18" x14ac:dyDescent="0.3">
      <c r="A28" s="118"/>
      <c r="B28" s="110"/>
      <c r="C28" s="7"/>
      <c r="D28" s="110"/>
      <c r="E28" s="110"/>
      <c r="F28" s="117"/>
      <c r="G28" s="7"/>
      <c r="H28" s="8"/>
      <c r="I28" s="4">
        <f t="shared" si="0"/>
        <v>0</v>
      </c>
      <c r="J28" s="118"/>
      <c r="K28" s="110"/>
      <c r="L28" s="7"/>
      <c r="M28" s="110"/>
      <c r="N28" s="110"/>
      <c r="O28" s="117"/>
      <c r="P28" s="7"/>
      <c r="Q28" s="8"/>
      <c r="R28" s="4">
        <f t="shared" si="1"/>
        <v>0</v>
      </c>
    </row>
    <row r="29" spans="1:18" x14ac:dyDescent="0.3">
      <c r="A29" s="118"/>
      <c r="B29" s="110"/>
      <c r="C29" s="7"/>
      <c r="D29" s="110"/>
      <c r="E29" s="110"/>
      <c r="F29" s="117"/>
      <c r="G29" s="7"/>
      <c r="H29" s="8"/>
      <c r="I29" s="4">
        <f t="shared" si="0"/>
        <v>0</v>
      </c>
      <c r="J29" s="118"/>
      <c r="K29" s="110"/>
      <c r="L29" s="7"/>
      <c r="M29" s="110"/>
      <c r="N29" s="110"/>
      <c r="O29" s="117"/>
      <c r="P29" s="7"/>
      <c r="Q29" s="8"/>
      <c r="R29" s="4">
        <f t="shared" si="1"/>
        <v>0</v>
      </c>
    </row>
    <row r="30" spans="1:18" x14ac:dyDescent="0.3">
      <c r="A30" s="118"/>
      <c r="B30" s="110"/>
      <c r="C30" s="7"/>
      <c r="D30" s="110"/>
      <c r="E30" s="110"/>
      <c r="F30" s="117"/>
      <c r="G30" s="7"/>
      <c r="H30" s="8"/>
      <c r="I30" s="4">
        <f t="shared" si="0"/>
        <v>0</v>
      </c>
      <c r="J30" s="118"/>
      <c r="K30" s="110"/>
      <c r="L30" s="7"/>
      <c r="M30" s="110"/>
      <c r="N30" s="110"/>
      <c r="O30" s="117"/>
      <c r="P30" s="7"/>
      <c r="Q30" s="8"/>
      <c r="R30" s="4">
        <f t="shared" si="1"/>
        <v>0</v>
      </c>
    </row>
    <row r="31" spans="1:18" x14ac:dyDescent="0.3">
      <c r="A31" s="118"/>
      <c r="B31" s="110"/>
      <c r="C31" s="7"/>
      <c r="D31" s="110"/>
      <c r="E31" s="110"/>
      <c r="F31" s="117"/>
      <c r="G31" s="7"/>
      <c r="H31" s="8"/>
      <c r="I31" s="4">
        <f t="shared" si="0"/>
        <v>0</v>
      </c>
      <c r="J31" s="118"/>
      <c r="K31" s="110"/>
      <c r="L31" s="7"/>
      <c r="M31" s="110"/>
      <c r="N31" s="110"/>
      <c r="O31" s="117"/>
      <c r="P31" s="7"/>
      <c r="Q31" s="8"/>
      <c r="R31" s="4">
        <f t="shared" si="1"/>
        <v>0</v>
      </c>
    </row>
    <row r="32" spans="1:18" x14ac:dyDescent="0.3">
      <c r="A32" s="118"/>
      <c r="B32" s="110"/>
      <c r="C32" s="7"/>
      <c r="D32" s="110"/>
      <c r="E32" s="110"/>
      <c r="F32" s="117"/>
      <c r="G32" s="7"/>
      <c r="H32" s="8"/>
      <c r="I32" s="4">
        <f t="shared" si="0"/>
        <v>0</v>
      </c>
      <c r="J32" s="118"/>
      <c r="K32" s="110"/>
      <c r="L32" s="7"/>
      <c r="M32" s="110"/>
      <c r="N32" s="110"/>
      <c r="O32" s="117"/>
      <c r="P32" s="7"/>
      <c r="Q32" s="8"/>
      <c r="R32" s="4">
        <f t="shared" si="1"/>
        <v>0</v>
      </c>
    </row>
    <row r="33" spans="1:18" x14ac:dyDescent="0.3">
      <c r="A33" s="118"/>
      <c r="B33" s="110"/>
      <c r="C33" s="7"/>
      <c r="D33" s="110"/>
      <c r="E33" s="110"/>
      <c r="F33" s="117"/>
      <c r="G33" s="7"/>
      <c r="H33" s="8"/>
      <c r="I33" s="4">
        <f t="shared" si="0"/>
        <v>0</v>
      </c>
      <c r="J33" s="118"/>
      <c r="K33" s="110"/>
      <c r="L33" s="7"/>
      <c r="M33" s="110"/>
      <c r="N33" s="110"/>
      <c r="O33" s="117"/>
      <c r="P33" s="7"/>
      <c r="Q33" s="8"/>
      <c r="R33" s="4">
        <f t="shared" si="1"/>
        <v>0</v>
      </c>
    </row>
    <row r="34" spans="1:18" x14ac:dyDescent="0.3">
      <c r="A34" s="118"/>
      <c r="B34" s="110"/>
      <c r="C34" s="7"/>
      <c r="D34" s="110"/>
      <c r="E34" s="110"/>
      <c r="F34" s="117"/>
      <c r="G34" s="7"/>
      <c r="H34" s="8"/>
      <c r="I34" s="4">
        <f t="shared" si="0"/>
        <v>0</v>
      </c>
      <c r="J34" s="118"/>
      <c r="K34" s="110"/>
      <c r="L34" s="7"/>
      <c r="M34" s="110"/>
      <c r="N34" s="110"/>
      <c r="O34" s="117"/>
      <c r="P34" s="7"/>
      <c r="Q34" s="8"/>
      <c r="R34" s="4">
        <f t="shared" si="1"/>
        <v>0</v>
      </c>
    </row>
    <row r="35" spans="1:18" x14ac:dyDescent="0.3">
      <c r="A35" s="118"/>
      <c r="B35" s="110"/>
      <c r="C35" s="7"/>
      <c r="D35" s="110"/>
      <c r="E35" s="110"/>
      <c r="F35" s="117"/>
      <c r="G35" s="7"/>
      <c r="H35" s="8"/>
      <c r="I35" s="4">
        <f t="shared" si="0"/>
        <v>0</v>
      </c>
      <c r="J35" s="118"/>
      <c r="K35" s="110"/>
      <c r="L35" s="7"/>
      <c r="M35" s="110"/>
      <c r="N35" s="110"/>
      <c r="O35" s="117"/>
      <c r="P35" s="7"/>
      <c r="Q35" s="8"/>
      <c r="R35" s="4">
        <f t="shared" si="1"/>
        <v>0</v>
      </c>
    </row>
    <row r="36" spans="1:18" x14ac:dyDescent="0.3">
      <c r="A36" s="118"/>
      <c r="B36" s="110"/>
      <c r="C36" s="7"/>
      <c r="D36" s="110"/>
      <c r="E36" s="110"/>
      <c r="F36" s="117"/>
      <c r="G36" s="7"/>
      <c r="H36" s="8"/>
      <c r="I36" s="4">
        <f t="shared" si="0"/>
        <v>0</v>
      </c>
      <c r="J36" s="118"/>
      <c r="K36" s="110"/>
      <c r="L36" s="7"/>
      <c r="M36" s="110"/>
      <c r="N36" s="110"/>
      <c r="O36" s="117"/>
      <c r="P36" s="7"/>
      <c r="Q36" s="8"/>
      <c r="R36" s="4">
        <f t="shared" si="1"/>
        <v>0</v>
      </c>
    </row>
    <row r="37" spans="1:18" x14ac:dyDescent="0.3">
      <c r="A37" s="118"/>
      <c r="B37" s="110"/>
      <c r="C37" s="7"/>
      <c r="D37" s="110"/>
      <c r="E37" s="110"/>
      <c r="F37" s="117"/>
      <c r="G37" s="7"/>
      <c r="H37" s="8"/>
      <c r="I37" s="4">
        <f t="shared" si="0"/>
        <v>0</v>
      </c>
      <c r="J37" s="118"/>
      <c r="K37" s="110"/>
      <c r="L37" s="7"/>
      <c r="M37" s="110"/>
      <c r="N37" s="110"/>
      <c r="O37" s="117"/>
      <c r="P37" s="7"/>
      <c r="Q37" s="8"/>
      <c r="R37" s="4">
        <f t="shared" si="1"/>
        <v>0</v>
      </c>
    </row>
    <row r="38" spans="1:18" x14ac:dyDescent="0.3">
      <c r="A38" s="118"/>
      <c r="B38" s="110"/>
      <c r="C38" s="7"/>
      <c r="D38" s="110"/>
      <c r="E38" s="110"/>
      <c r="F38" s="117"/>
      <c r="G38" s="7"/>
      <c r="H38" s="8"/>
      <c r="I38" s="4">
        <f t="shared" si="0"/>
        <v>0</v>
      </c>
      <c r="J38" s="118"/>
      <c r="K38" s="110"/>
      <c r="L38" s="7"/>
      <c r="M38" s="110"/>
      <c r="N38" s="110"/>
      <c r="O38" s="117"/>
      <c r="P38" s="7"/>
      <c r="Q38" s="8"/>
      <c r="R38" s="4">
        <f t="shared" si="1"/>
        <v>0</v>
      </c>
    </row>
    <row r="39" spans="1:18" x14ac:dyDescent="0.3">
      <c r="A39" s="118"/>
      <c r="B39" s="110"/>
      <c r="C39" s="7"/>
      <c r="D39" s="110"/>
      <c r="E39" s="110"/>
      <c r="F39" s="117"/>
      <c r="G39" s="7"/>
      <c r="H39" s="8"/>
      <c r="I39" s="4">
        <f t="shared" si="0"/>
        <v>0</v>
      </c>
      <c r="J39" s="118"/>
      <c r="K39" s="110"/>
      <c r="L39" s="7"/>
      <c r="M39" s="110"/>
      <c r="N39" s="110"/>
      <c r="O39" s="117"/>
      <c r="P39" s="7"/>
      <c r="Q39" s="8"/>
      <c r="R39" s="4">
        <f t="shared" si="1"/>
        <v>0</v>
      </c>
    </row>
    <row r="40" spans="1:18" x14ac:dyDescent="0.3">
      <c r="A40" s="119"/>
      <c r="B40" s="120"/>
      <c r="C40" s="7"/>
      <c r="D40" s="110"/>
      <c r="E40" s="110"/>
      <c r="F40" s="117"/>
      <c r="G40" s="9"/>
      <c r="H40" s="1"/>
      <c r="I40" s="4">
        <f>H40-G40</f>
        <v>0</v>
      </c>
      <c r="J40" s="118"/>
      <c r="K40" s="110"/>
      <c r="L40" s="7"/>
      <c r="M40" s="110"/>
      <c r="N40" s="110"/>
      <c r="O40" s="117"/>
      <c r="P40" s="7"/>
      <c r="Q40" s="8"/>
      <c r="R40" s="4">
        <f t="shared" si="1"/>
        <v>0</v>
      </c>
    </row>
    <row r="41" spans="1:18" x14ac:dyDescent="0.3">
      <c r="A41" s="118"/>
      <c r="B41" s="110"/>
      <c r="C41" s="7"/>
      <c r="D41" s="110"/>
      <c r="E41" s="110"/>
      <c r="F41" s="117"/>
      <c r="G41" s="7"/>
      <c r="H41" s="8"/>
      <c r="I41" s="4">
        <f t="shared" si="0"/>
        <v>0</v>
      </c>
      <c r="J41" s="119"/>
      <c r="K41" s="120"/>
      <c r="L41" s="7"/>
      <c r="M41" s="110"/>
      <c r="N41" s="110"/>
      <c r="O41" s="117"/>
      <c r="P41" s="9"/>
      <c r="Q41" s="1"/>
      <c r="R41" s="4">
        <f>Q41-P41</f>
        <v>0</v>
      </c>
    </row>
    <row r="42" spans="1:18" x14ac:dyDescent="0.3">
      <c r="A42" s="118"/>
      <c r="B42" s="110"/>
      <c r="C42" s="7"/>
      <c r="D42" s="110"/>
      <c r="E42" s="110"/>
      <c r="F42" s="117"/>
      <c r="G42" s="7"/>
      <c r="H42" s="8"/>
      <c r="I42" s="4">
        <f t="shared" si="0"/>
        <v>0</v>
      </c>
      <c r="J42" s="118"/>
      <c r="K42" s="110"/>
      <c r="L42" s="7"/>
      <c r="M42" s="110"/>
      <c r="N42" s="110"/>
      <c r="O42" s="117"/>
      <c r="P42" s="7"/>
      <c r="Q42" s="8"/>
      <c r="R42" s="4">
        <f t="shared" ref="R42:R49" si="2">Q42-P42</f>
        <v>0</v>
      </c>
    </row>
    <row r="43" spans="1:18" x14ac:dyDescent="0.3">
      <c r="A43" s="118"/>
      <c r="B43" s="110"/>
      <c r="C43" s="7"/>
      <c r="D43" s="110"/>
      <c r="E43" s="110"/>
      <c r="F43" s="117"/>
      <c r="G43" s="7"/>
      <c r="H43" s="8"/>
      <c r="I43" s="4">
        <f t="shared" si="0"/>
        <v>0</v>
      </c>
      <c r="J43" s="118"/>
      <c r="K43" s="110"/>
      <c r="L43" s="7"/>
      <c r="M43" s="110"/>
      <c r="N43" s="110"/>
      <c r="O43" s="117"/>
      <c r="P43" s="7"/>
      <c r="Q43" s="8"/>
      <c r="R43" s="4">
        <f t="shared" si="2"/>
        <v>0</v>
      </c>
    </row>
    <row r="44" spans="1:18" x14ac:dyDescent="0.3">
      <c r="A44" s="118"/>
      <c r="B44" s="110"/>
      <c r="C44" s="7"/>
      <c r="D44" s="110"/>
      <c r="E44" s="110"/>
      <c r="F44" s="117"/>
      <c r="G44" s="7"/>
      <c r="H44" s="8"/>
      <c r="I44" s="4">
        <f t="shared" si="0"/>
        <v>0</v>
      </c>
      <c r="J44" s="118"/>
      <c r="K44" s="110"/>
      <c r="L44" s="7"/>
      <c r="M44" s="110"/>
      <c r="N44" s="110"/>
      <c r="O44" s="117"/>
      <c r="P44" s="7"/>
      <c r="Q44" s="8"/>
      <c r="R44" s="4">
        <f t="shared" si="2"/>
        <v>0</v>
      </c>
    </row>
    <row r="45" spans="1:18" x14ac:dyDescent="0.3">
      <c r="A45" s="118"/>
      <c r="B45" s="110"/>
      <c r="C45" s="7"/>
      <c r="D45" s="110"/>
      <c r="E45" s="110"/>
      <c r="F45" s="117"/>
      <c r="G45" s="7"/>
      <c r="H45" s="8"/>
      <c r="I45" s="4">
        <f t="shared" si="0"/>
        <v>0</v>
      </c>
      <c r="J45" s="118"/>
      <c r="K45" s="110"/>
      <c r="L45" s="7"/>
      <c r="M45" s="110"/>
      <c r="N45" s="110"/>
      <c r="O45" s="117"/>
      <c r="P45" s="7"/>
      <c r="Q45" s="8"/>
      <c r="R45" s="4">
        <f t="shared" si="2"/>
        <v>0</v>
      </c>
    </row>
    <row r="46" spans="1:18" x14ac:dyDescent="0.3">
      <c r="A46" s="118"/>
      <c r="B46" s="110"/>
      <c r="C46" s="7"/>
      <c r="D46" s="110"/>
      <c r="E46" s="110"/>
      <c r="F46" s="117"/>
      <c r="G46" s="7"/>
      <c r="H46" s="8"/>
      <c r="I46" s="4">
        <f t="shared" si="0"/>
        <v>0</v>
      </c>
      <c r="J46" s="118"/>
      <c r="K46" s="110"/>
      <c r="L46" s="7"/>
      <c r="M46" s="110"/>
      <c r="N46" s="110"/>
      <c r="O46" s="117"/>
      <c r="P46" s="7"/>
      <c r="Q46" s="8"/>
      <c r="R46" s="4">
        <f t="shared" si="2"/>
        <v>0</v>
      </c>
    </row>
    <row r="47" spans="1:18" x14ac:dyDescent="0.3">
      <c r="A47" s="118"/>
      <c r="B47" s="110"/>
      <c r="C47" s="7"/>
      <c r="D47" s="110"/>
      <c r="E47" s="110"/>
      <c r="F47" s="117"/>
      <c r="G47" s="7"/>
      <c r="H47" s="8"/>
      <c r="I47" s="4">
        <f t="shared" si="0"/>
        <v>0</v>
      </c>
      <c r="J47" s="118"/>
      <c r="K47" s="110"/>
      <c r="L47" s="7"/>
      <c r="M47" s="110"/>
      <c r="N47" s="110"/>
      <c r="O47" s="117"/>
      <c r="P47" s="7"/>
      <c r="Q47" s="8"/>
      <c r="R47" s="4">
        <f t="shared" si="2"/>
        <v>0</v>
      </c>
    </row>
    <row r="48" spans="1:18" x14ac:dyDescent="0.3">
      <c r="A48" s="118"/>
      <c r="B48" s="110"/>
      <c r="C48" s="7"/>
      <c r="D48" s="110"/>
      <c r="E48" s="110"/>
      <c r="F48" s="117"/>
      <c r="G48" s="7"/>
      <c r="H48" s="8"/>
      <c r="I48" s="4">
        <f t="shared" si="0"/>
        <v>0</v>
      </c>
      <c r="J48" s="118"/>
      <c r="K48" s="110"/>
      <c r="L48" s="7"/>
      <c r="M48" s="110"/>
      <c r="N48" s="110"/>
      <c r="O48" s="117"/>
      <c r="P48" s="7"/>
      <c r="Q48" s="8"/>
      <c r="R48" s="4">
        <f t="shared" si="2"/>
        <v>0</v>
      </c>
    </row>
    <row r="49" spans="1:18" ht="15" thickBot="1" x14ac:dyDescent="0.35">
      <c r="A49" s="75"/>
      <c r="B49" s="76"/>
      <c r="C49" s="10"/>
      <c r="D49" s="110"/>
      <c r="E49" s="110"/>
      <c r="F49" s="117"/>
      <c r="G49" s="10"/>
      <c r="H49" s="11"/>
      <c r="I49" s="12">
        <f t="shared" si="0"/>
        <v>0</v>
      </c>
      <c r="J49" s="118"/>
      <c r="K49" s="110"/>
      <c r="L49" s="10"/>
      <c r="M49" s="110"/>
      <c r="N49" s="110"/>
      <c r="O49" s="117"/>
      <c r="P49" s="7"/>
      <c r="Q49" s="8"/>
      <c r="R49" s="4">
        <f t="shared" si="2"/>
        <v>0</v>
      </c>
    </row>
    <row r="50" spans="1:18" ht="15" thickBot="1" x14ac:dyDescent="0.35">
      <c r="A50" s="121"/>
      <c r="B50" s="122"/>
      <c r="C50" s="16"/>
      <c r="D50" s="123"/>
      <c r="E50" s="123"/>
      <c r="F50" s="122"/>
      <c r="G50" s="124" t="s">
        <v>38</v>
      </c>
      <c r="H50" s="122"/>
      <c r="I50" s="13">
        <f>SUM(I12:I49)</f>
        <v>0</v>
      </c>
      <c r="J50" s="121"/>
      <c r="K50" s="122"/>
      <c r="L50" s="16"/>
      <c r="M50" s="123"/>
      <c r="N50" s="123"/>
      <c r="O50" s="122"/>
      <c r="P50" s="124" t="s">
        <v>38</v>
      </c>
      <c r="Q50" s="122"/>
      <c r="R50" s="13">
        <f>SUM(R12:R49)</f>
        <v>0</v>
      </c>
    </row>
    <row r="51" spans="1:18" ht="15" thickTop="1" x14ac:dyDescent="0.3"/>
  </sheetData>
  <mergeCells count="189">
    <mergeCell ref="A50:B50"/>
    <mergeCell ref="D50:F50"/>
    <mergeCell ref="G50:H50"/>
    <mergeCell ref="J50:K50"/>
    <mergeCell ref="M50:O50"/>
    <mergeCell ref="P50:Q50"/>
    <mergeCell ref="A48:B48"/>
    <mergeCell ref="D48:F48"/>
    <mergeCell ref="J48:K48"/>
    <mergeCell ref="M48:O48"/>
    <mergeCell ref="A49:B49"/>
    <mergeCell ref="D49:F49"/>
    <mergeCell ref="J49:K49"/>
    <mergeCell ref="M49:O49"/>
    <mergeCell ref="A46:B46"/>
    <mergeCell ref="D46:F46"/>
    <mergeCell ref="J46:K46"/>
    <mergeCell ref="M46:O46"/>
    <mergeCell ref="A47:B47"/>
    <mergeCell ref="D47:F47"/>
    <mergeCell ref="J47:K47"/>
    <mergeCell ref="M47:O47"/>
    <mergeCell ref="A44:B44"/>
    <mergeCell ref="D44:F44"/>
    <mergeCell ref="J44:K44"/>
    <mergeCell ref="M44:O44"/>
    <mergeCell ref="A45:B45"/>
    <mergeCell ref="D45:F45"/>
    <mergeCell ref="J45:K45"/>
    <mergeCell ref="M45:O45"/>
    <mergeCell ref="A42:B42"/>
    <mergeCell ref="D42:F42"/>
    <mergeCell ref="J42:K42"/>
    <mergeCell ref="M42:O42"/>
    <mergeCell ref="A43:B43"/>
    <mergeCell ref="D43:F43"/>
    <mergeCell ref="J43:K43"/>
    <mergeCell ref="M43:O43"/>
    <mergeCell ref="A40:B40"/>
    <mergeCell ref="D40:F40"/>
    <mergeCell ref="J40:K40"/>
    <mergeCell ref="M40:O40"/>
    <mergeCell ref="A41:B41"/>
    <mergeCell ref="D41:F41"/>
    <mergeCell ref="J41:K41"/>
    <mergeCell ref="M41:O41"/>
    <mergeCell ref="A38:B38"/>
    <mergeCell ref="D38:F38"/>
    <mergeCell ref="J38:K38"/>
    <mergeCell ref="M38:O38"/>
    <mergeCell ref="A39:B39"/>
    <mergeCell ref="D39:F39"/>
    <mergeCell ref="J39:K39"/>
    <mergeCell ref="M39:O39"/>
    <mergeCell ref="A36:B36"/>
    <mergeCell ref="D36:F36"/>
    <mergeCell ref="J36:K36"/>
    <mergeCell ref="M36:O36"/>
    <mergeCell ref="A37:B37"/>
    <mergeCell ref="D37:F37"/>
    <mergeCell ref="J37:K37"/>
    <mergeCell ref="M37:O37"/>
    <mergeCell ref="A34:B34"/>
    <mergeCell ref="D34:F34"/>
    <mergeCell ref="J34:K34"/>
    <mergeCell ref="M34:O34"/>
    <mergeCell ref="A35:B35"/>
    <mergeCell ref="D35:F35"/>
    <mergeCell ref="J35:K35"/>
    <mergeCell ref="M35:O35"/>
    <mergeCell ref="A32:B32"/>
    <mergeCell ref="D32:F32"/>
    <mergeCell ref="J32:K32"/>
    <mergeCell ref="M32:O32"/>
    <mergeCell ref="A33:B33"/>
    <mergeCell ref="D33:F33"/>
    <mergeCell ref="J33:K33"/>
    <mergeCell ref="M33:O33"/>
    <mergeCell ref="A30:B30"/>
    <mergeCell ref="D30:F30"/>
    <mergeCell ref="J30:K30"/>
    <mergeCell ref="M30:O30"/>
    <mergeCell ref="A31:B31"/>
    <mergeCell ref="D31:F31"/>
    <mergeCell ref="J31:K31"/>
    <mergeCell ref="M31:O31"/>
    <mergeCell ref="A28:B28"/>
    <mergeCell ref="D28:F28"/>
    <mergeCell ref="J28:K28"/>
    <mergeCell ref="M28:O28"/>
    <mergeCell ref="A29:B29"/>
    <mergeCell ref="D29:F29"/>
    <mergeCell ref="J29:K29"/>
    <mergeCell ref="M29:O29"/>
    <mergeCell ref="A26:B26"/>
    <mergeCell ref="D26:F26"/>
    <mergeCell ref="J26:K26"/>
    <mergeCell ref="M26:O26"/>
    <mergeCell ref="A27:B27"/>
    <mergeCell ref="D27:F27"/>
    <mergeCell ref="J27:K27"/>
    <mergeCell ref="M27:O27"/>
    <mergeCell ref="A24:B24"/>
    <mergeCell ref="D24:F24"/>
    <mergeCell ref="J24:K24"/>
    <mergeCell ref="M24:O24"/>
    <mergeCell ref="A25:B25"/>
    <mergeCell ref="D25:F25"/>
    <mergeCell ref="J25:K25"/>
    <mergeCell ref="M25:O25"/>
    <mergeCell ref="A22:B22"/>
    <mergeCell ref="D22:F22"/>
    <mergeCell ref="J22:K22"/>
    <mergeCell ref="M22:O22"/>
    <mergeCell ref="A23:B23"/>
    <mergeCell ref="D23:F23"/>
    <mergeCell ref="J23:K23"/>
    <mergeCell ref="M23:O23"/>
    <mergeCell ref="A20:B20"/>
    <mergeCell ref="D20:F20"/>
    <mergeCell ref="J20:K20"/>
    <mergeCell ref="M20:O20"/>
    <mergeCell ref="A21:B21"/>
    <mergeCell ref="D21:F21"/>
    <mergeCell ref="J21:K21"/>
    <mergeCell ref="M21:O21"/>
    <mergeCell ref="A18:B18"/>
    <mergeCell ref="D18:F18"/>
    <mergeCell ref="J18:K18"/>
    <mergeCell ref="M18:O18"/>
    <mergeCell ref="A19:B19"/>
    <mergeCell ref="D19:F19"/>
    <mergeCell ref="J19:K19"/>
    <mergeCell ref="M19:O19"/>
    <mergeCell ref="A16:B16"/>
    <mergeCell ref="D16:F16"/>
    <mergeCell ref="J16:K16"/>
    <mergeCell ref="M16:O16"/>
    <mergeCell ref="A17:B17"/>
    <mergeCell ref="D17:F17"/>
    <mergeCell ref="J17:K17"/>
    <mergeCell ref="M17:O17"/>
    <mergeCell ref="A15:B15"/>
    <mergeCell ref="D15:F15"/>
    <mergeCell ref="J15:K15"/>
    <mergeCell ref="M15:O15"/>
    <mergeCell ref="A12:B12"/>
    <mergeCell ref="D12:F12"/>
    <mergeCell ref="J12:K12"/>
    <mergeCell ref="M12:O12"/>
    <mergeCell ref="A13:B13"/>
    <mergeCell ref="D13:F13"/>
    <mergeCell ref="J13:K13"/>
    <mergeCell ref="M13:O13"/>
    <mergeCell ref="R8:R11"/>
    <mergeCell ref="A7:B11"/>
    <mergeCell ref="C7:C11"/>
    <mergeCell ref="D7:F11"/>
    <mergeCell ref="G7:I7"/>
    <mergeCell ref="J7:K11"/>
    <mergeCell ref="L7:L11"/>
    <mergeCell ref="A14:B14"/>
    <mergeCell ref="D14:F14"/>
    <mergeCell ref="J14:K14"/>
    <mergeCell ref="M14:O14"/>
    <mergeCell ref="L4:R4"/>
    <mergeCell ref="A5:B5"/>
    <mergeCell ref="C5:I5"/>
    <mergeCell ref="J5:K5"/>
    <mergeCell ref="L5:R5"/>
    <mergeCell ref="A6:I6"/>
    <mergeCell ref="J6:R6"/>
    <mergeCell ref="A1:R2"/>
    <mergeCell ref="S1:W2"/>
    <mergeCell ref="A3:B3"/>
    <mergeCell ref="C3:I3"/>
    <mergeCell ref="J3:K3"/>
    <mergeCell ref="L3:R3"/>
    <mergeCell ref="S3:W11"/>
    <mergeCell ref="A4:B4"/>
    <mergeCell ref="C4:I4"/>
    <mergeCell ref="J4:K4"/>
    <mergeCell ref="M7:O11"/>
    <mergeCell ref="P7:R7"/>
    <mergeCell ref="G8:G11"/>
    <mergeCell ref="H8:H11"/>
    <mergeCell ref="I8:I11"/>
    <mergeCell ref="P8:P11"/>
    <mergeCell ref="Q8:Q11"/>
  </mergeCell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507D56-A806-44ED-B3CE-FB4BDEDD1B80}">
  <sheetPr codeName="Sheet1"/>
  <dimension ref="A1:I223"/>
  <sheetViews>
    <sheetView topLeftCell="A3" zoomScale="115" zoomScaleNormal="115" workbookViewId="0">
      <selection activeCell="L9" sqref="L9"/>
    </sheetView>
  </sheetViews>
  <sheetFormatPr defaultColWidth="8.77734375" defaultRowHeight="14.4" x14ac:dyDescent="0.3"/>
  <sheetData>
    <row r="1" spans="1:9" ht="14.4" customHeight="1" x14ac:dyDescent="0.3">
      <c r="A1" s="26" t="s">
        <v>48</v>
      </c>
      <c r="B1" s="27"/>
      <c r="C1" s="27"/>
      <c r="D1" s="27"/>
      <c r="E1" s="27"/>
      <c r="F1" s="27"/>
      <c r="G1" s="27"/>
      <c r="H1" s="27"/>
      <c r="I1" s="28"/>
    </row>
    <row r="2" spans="1:9" ht="15" customHeight="1" thickBot="1" x14ac:dyDescent="0.35">
      <c r="A2" s="29"/>
      <c r="B2" s="30"/>
      <c r="C2" s="30"/>
      <c r="D2" s="30"/>
      <c r="E2" s="30"/>
      <c r="F2" s="30"/>
      <c r="G2" s="30"/>
      <c r="H2" s="30"/>
      <c r="I2" s="31"/>
    </row>
    <row r="3" spans="1:9" ht="15" thickBot="1" x14ac:dyDescent="0.35">
      <c r="A3" s="32" t="s">
        <v>45</v>
      </c>
      <c r="B3" s="33"/>
      <c r="C3" s="33"/>
      <c r="D3" s="33"/>
      <c r="E3" s="33"/>
      <c r="F3" s="33"/>
      <c r="G3" s="33"/>
      <c r="H3" s="33"/>
      <c r="I3" s="34"/>
    </row>
    <row r="4" spans="1:9" ht="15.6" thickTop="1" thickBot="1" x14ac:dyDescent="0.35">
      <c r="A4" s="35">
        <f>D9+D12</f>
        <v>1.2340277777777779</v>
      </c>
      <c r="B4" s="36"/>
      <c r="C4" s="36"/>
      <c r="D4" s="36"/>
      <c r="E4" s="36"/>
      <c r="F4" s="36"/>
      <c r="G4" s="36"/>
      <c r="H4" s="36"/>
      <c r="I4" s="37"/>
    </row>
    <row r="5" spans="1:9" ht="15" thickBot="1" x14ac:dyDescent="0.35">
      <c r="A5" s="38"/>
      <c r="B5" s="39"/>
      <c r="C5" s="39"/>
      <c r="D5" s="39"/>
      <c r="E5" s="39"/>
      <c r="F5" s="39"/>
      <c r="G5" s="39"/>
      <c r="H5" s="39"/>
      <c r="I5" s="40"/>
    </row>
    <row r="6" spans="1:9" ht="15" thickBot="1" x14ac:dyDescent="0.35">
      <c r="A6" s="32" t="s">
        <v>1</v>
      </c>
      <c r="B6" s="33"/>
      <c r="C6" s="33"/>
      <c r="D6" s="33"/>
      <c r="E6" s="33"/>
      <c r="F6" s="33"/>
      <c r="G6" s="33"/>
      <c r="H6" s="33"/>
      <c r="I6" s="34"/>
    </row>
    <row r="7" spans="1:9" ht="15" thickTop="1" x14ac:dyDescent="0.3">
      <c r="A7" s="23"/>
      <c r="B7" s="24"/>
      <c r="C7" s="25"/>
      <c r="D7" s="23"/>
      <c r="E7" s="24"/>
      <c r="F7" s="24"/>
      <c r="G7" s="24"/>
      <c r="H7" s="24"/>
      <c r="I7" s="25"/>
    </row>
    <row r="8" spans="1:9" x14ac:dyDescent="0.3">
      <c r="A8" s="41" t="s">
        <v>2</v>
      </c>
      <c r="B8" s="42"/>
      <c r="C8" s="43"/>
      <c r="D8" s="44" t="s">
        <v>3</v>
      </c>
      <c r="E8" s="45"/>
      <c r="F8" s="45"/>
      <c r="G8" s="45"/>
      <c r="H8" s="45"/>
      <c r="I8" s="46"/>
    </row>
    <row r="9" spans="1:9" x14ac:dyDescent="0.3">
      <c r="A9" s="47" t="s">
        <v>4</v>
      </c>
      <c r="B9" s="48"/>
      <c r="C9" s="49"/>
      <c r="D9" s="50">
        <v>0.80347222222222248</v>
      </c>
      <c r="E9" s="51"/>
      <c r="F9" s="51"/>
      <c r="G9" s="51"/>
      <c r="H9" s="51"/>
      <c r="I9" s="52"/>
    </row>
    <row r="10" spans="1:9" ht="15" thickBot="1" x14ac:dyDescent="0.35">
      <c r="A10" s="53"/>
      <c r="B10" s="54"/>
      <c r="C10" s="55"/>
      <c r="D10" s="53"/>
      <c r="E10" s="54"/>
      <c r="F10" s="54"/>
      <c r="G10" s="54"/>
      <c r="H10" s="54"/>
      <c r="I10" s="55"/>
    </row>
    <row r="11" spans="1:9" x14ac:dyDescent="0.3">
      <c r="A11" s="56" t="s">
        <v>2</v>
      </c>
      <c r="B11" s="57"/>
      <c r="C11" s="58"/>
      <c r="D11" s="59" t="s">
        <v>5</v>
      </c>
      <c r="E11" s="60"/>
      <c r="F11" s="60"/>
      <c r="G11" s="60"/>
      <c r="H11" s="60"/>
      <c r="I11" s="61"/>
    </row>
    <row r="12" spans="1:9" ht="15" thickBot="1" x14ac:dyDescent="0.35">
      <c r="A12" s="62" t="s">
        <v>4</v>
      </c>
      <c r="B12" s="63"/>
      <c r="C12" s="64"/>
      <c r="D12" s="65">
        <v>0.43055555555555552</v>
      </c>
      <c r="E12" s="66"/>
      <c r="F12" s="66"/>
      <c r="G12" s="66"/>
      <c r="H12" s="66"/>
      <c r="I12" s="67"/>
    </row>
    <row r="13" spans="1:9" ht="15" thickBot="1" x14ac:dyDescent="0.35">
      <c r="A13" s="68"/>
      <c r="B13" s="68"/>
      <c r="C13" s="68"/>
      <c r="D13" s="68"/>
      <c r="E13" s="68"/>
      <c r="F13" s="68"/>
      <c r="G13" s="68"/>
      <c r="H13" s="68"/>
      <c r="I13" s="68"/>
    </row>
    <row r="14" spans="1:9" ht="14.55" customHeight="1" x14ac:dyDescent="0.3">
      <c r="A14" s="26" t="s">
        <v>0</v>
      </c>
      <c r="B14" s="27"/>
      <c r="C14" s="27"/>
      <c r="D14" s="27"/>
      <c r="E14" s="27"/>
      <c r="F14" s="27"/>
      <c r="G14" s="27"/>
      <c r="H14" s="27"/>
      <c r="I14" s="28"/>
    </row>
    <row r="15" spans="1:9" ht="15" customHeight="1" thickBot="1" x14ac:dyDescent="0.35">
      <c r="A15" s="29"/>
      <c r="B15" s="30"/>
      <c r="C15" s="30"/>
      <c r="D15" s="30"/>
      <c r="E15" s="30"/>
      <c r="F15" s="30"/>
      <c r="G15" s="30"/>
      <c r="H15" s="30"/>
      <c r="I15" s="31"/>
    </row>
    <row r="16" spans="1:9" ht="15" thickBot="1" x14ac:dyDescent="0.35">
      <c r="A16" s="32" t="s">
        <v>45</v>
      </c>
      <c r="B16" s="33"/>
      <c r="C16" s="33"/>
      <c r="D16" s="33"/>
      <c r="E16" s="33"/>
      <c r="F16" s="33"/>
      <c r="G16" s="33"/>
      <c r="H16" s="33"/>
      <c r="I16" s="34"/>
    </row>
    <row r="17" spans="1:9" ht="15.6" thickTop="1" thickBot="1" x14ac:dyDescent="0.35">
      <c r="A17" s="35">
        <f>D22+D25</f>
        <v>1.566666666666666</v>
      </c>
      <c r="B17" s="36"/>
      <c r="C17" s="36"/>
      <c r="D17" s="36"/>
      <c r="E17" s="36"/>
      <c r="F17" s="36"/>
      <c r="G17" s="36"/>
      <c r="H17" s="36"/>
      <c r="I17" s="37"/>
    </row>
    <row r="18" spans="1:9" ht="15" thickBot="1" x14ac:dyDescent="0.35">
      <c r="A18" s="38"/>
      <c r="B18" s="39"/>
      <c r="C18" s="39"/>
      <c r="D18" s="39"/>
      <c r="E18" s="39"/>
      <c r="F18" s="39"/>
      <c r="G18" s="39"/>
      <c r="H18" s="39"/>
      <c r="I18" s="40"/>
    </row>
    <row r="19" spans="1:9" ht="15" thickBot="1" x14ac:dyDescent="0.35">
      <c r="A19" s="32" t="s">
        <v>1</v>
      </c>
      <c r="B19" s="33"/>
      <c r="C19" s="33"/>
      <c r="D19" s="33"/>
      <c r="E19" s="33"/>
      <c r="F19" s="33"/>
      <c r="G19" s="33"/>
      <c r="H19" s="33"/>
      <c r="I19" s="34"/>
    </row>
    <row r="20" spans="1:9" ht="15" thickTop="1" x14ac:dyDescent="0.3">
      <c r="A20" s="23"/>
      <c r="B20" s="24"/>
      <c r="C20" s="25"/>
      <c r="D20" s="23"/>
      <c r="E20" s="24"/>
      <c r="F20" s="24"/>
      <c r="G20" s="24"/>
      <c r="H20" s="24"/>
      <c r="I20" s="25"/>
    </row>
    <row r="21" spans="1:9" x14ac:dyDescent="0.3">
      <c r="A21" s="41" t="s">
        <v>2</v>
      </c>
      <c r="B21" s="42"/>
      <c r="C21" s="43"/>
      <c r="D21" s="44" t="s">
        <v>3</v>
      </c>
      <c r="E21" s="45"/>
      <c r="F21" s="45"/>
      <c r="G21" s="45"/>
      <c r="H21" s="45"/>
      <c r="I21" s="46"/>
    </row>
    <row r="22" spans="1:9" x14ac:dyDescent="0.3">
      <c r="A22" s="47" t="s">
        <v>4</v>
      </c>
      <c r="B22" s="48"/>
      <c r="C22" s="49"/>
      <c r="D22" s="50">
        <v>0.87777777777777743</v>
      </c>
      <c r="E22" s="51"/>
      <c r="F22" s="51"/>
      <c r="G22" s="51"/>
      <c r="H22" s="51"/>
      <c r="I22" s="52"/>
    </row>
    <row r="23" spans="1:9" ht="15" thickBot="1" x14ac:dyDescent="0.35">
      <c r="A23" s="53"/>
      <c r="B23" s="54"/>
      <c r="C23" s="55"/>
      <c r="D23" s="53"/>
      <c r="E23" s="54"/>
      <c r="F23" s="54"/>
      <c r="G23" s="54"/>
      <c r="H23" s="54"/>
      <c r="I23" s="55"/>
    </row>
    <row r="24" spans="1:9" x14ac:dyDescent="0.3">
      <c r="A24" s="56" t="s">
        <v>2</v>
      </c>
      <c r="B24" s="57"/>
      <c r="C24" s="58"/>
      <c r="D24" s="59" t="s">
        <v>5</v>
      </c>
      <c r="E24" s="60"/>
      <c r="F24" s="60"/>
      <c r="G24" s="60"/>
      <c r="H24" s="60"/>
      <c r="I24" s="61"/>
    </row>
    <row r="25" spans="1:9" ht="15" thickBot="1" x14ac:dyDescent="0.35">
      <c r="A25" s="62" t="s">
        <v>4</v>
      </c>
      <c r="B25" s="63"/>
      <c r="C25" s="64"/>
      <c r="D25" s="65">
        <v>0.68888888888888866</v>
      </c>
      <c r="E25" s="66"/>
      <c r="F25" s="66"/>
      <c r="G25" s="66"/>
      <c r="H25" s="66"/>
      <c r="I25" s="67"/>
    </row>
    <row r="26" spans="1:9" x14ac:dyDescent="0.3">
      <c r="A26" s="68"/>
      <c r="B26" s="68"/>
      <c r="C26" s="68"/>
      <c r="D26" s="68"/>
      <c r="E26" s="68"/>
      <c r="F26" s="68"/>
      <c r="G26" s="68"/>
      <c r="H26" s="68"/>
      <c r="I26" s="68"/>
    </row>
    <row r="27" spans="1:9" ht="15" customHeight="1" x14ac:dyDescent="0.3"/>
    <row r="28" spans="1:9" ht="15.75" customHeight="1" x14ac:dyDescent="0.3"/>
    <row r="40" ht="15" customHeight="1" x14ac:dyDescent="0.3"/>
    <row r="41" ht="15.75" customHeight="1" x14ac:dyDescent="0.3"/>
    <row r="53" ht="14.55" customHeight="1" x14ac:dyDescent="0.3"/>
    <row r="54" ht="15" customHeight="1" x14ac:dyDescent="0.3"/>
    <row r="66" ht="14.55" customHeight="1" x14ac:dyDescent="0.3"/>
    <row r="67" ht="15" customHeight="1" x14ac:dyDescent="0.3"/>
    <row r="79" ht="14.55" customHeight="1" x14ac:dyDescent="0.3"/>
    <row r="80" ht="15" customHeight="1" x14ac:dyDescent="0.3"/>
    <row r="92" ht="14.55" customHeight="1" x14ac:dyDescent="0.3"/>
    <row r="93" ht="15" customHeight="1" x14ac:dyDescent="0.3"/>
    <row r="105" ht="14.55" customHeight="1" x14ac:dyDescent="0.3"/>
    <row r="106" ht="15" customHeight="1" x14ac:dyDescent="0.3"/>
    <row r="118" ht="14.55" customHeight="1" x14ac:dyDescent="0.3"/>
    <row r="119" ht="15" customHeight="1" x14ac:dyDescent="0.3"/>
    <row r="131" ht="14.55" customHeight="1" x14ac:dyDescent="0.3"/>
    <row r="132" ht="15" customHeight="1" x14ac:dyDescent="0.3"/>
    <row r="144" ht="14.55" customHeight="1" x14ac:dyDescent="0.3"/>
    <row r="145" ht="15" customHeight="1" x14ac:dyDescent="0.3"/>
    <row r="157" ht="14.55" customHeight="1" x14ac:dyDescent="0.3"/>
    <row r="158" ht="15" customHeight="1" x14ac:dyDescent="0.3"/>
    <row r="196" ht="14.55" customHeight="1" x14ac:dyDescent="0.3"/>
    <row r="197" ht="15" customHeight="1" x14ac:dyDescent="0.3"/>
    <row r="209" ht="14.55" customHeight="1" x14ac:dyDescent="0.3"/>
    <row r="210" ht="15" customHeight="1" x14ac:dyDescent="0.3"/>
    <row r="222" ht="14.55" customHeight="1" x14ac:dyDescent="0.3"/>
    <row r="223" ht="15" customHeight="1" x14ac:dyDescent="0.3"/>
  </sheetData>
  <mergeCells count="36">
    <mergeCell ref="A20:C20"/>
    <mergeCell ref="D20:I20"/>
    <mergeCell ref="A14:I15"/>
    <mergeCell ref="A16:I16"/>
    <mergeCell ref="A17:I17"/>
    <mergeCell ref="A18:I18"/>
    <mergeCell ref="A19:I19"/>
    <mergeCell ref="A21:C21"/>
    <mergeCell ref="D21:I21"/>
    <mergeCell ref="A22:C22"/>
    <mergeCell ref="D22:I22"/>
    <mergeCell ref="A23:C23"/>
    <mergeCell ref="D23:I23"/>
    <mergeCell ref="A24:C24"/>
    <mergeCell ref="D24:I24"/>
    <mergeCell ref="A25:C25"/>
    <mergeCell ref="D25:I25"/>
    <mergeCell ref="A26:I26"/>
    <mergeCell ref="A1:I2"/>
    <mergeCell ref="A3:I3"/>
    <mergeCell ref="A4:I4"/>
    <mergeCell ref="A5:I5"/>
    <mergeCell ref="A6:I6"/>
    <mergeCell ref="A7:C7"/>
    <mergeCell ref="D7:I7"/>
    <mergeCell ref="A8:C8"/>
    <mergeCell ref="D8:I8"/>
    <mergeCell ref="A9:C9"/>
    <mergeCell ref="D9:I9"/>
    <mergeCell ref="A13:I13"/>
    <mergeCell ref="A10:C10"/>
    <mergeCell ref="D10:I10"/>
    <mergeCell ref="A11:C11"/>
    <mergeCell ref="D11:I11"/>
    <mergeCell ref="A12:C12"/>
    <mergeCell ref="D12:I12"/>
  </mergeCells>
  <pageMargins left="0.7" right="0.7" top="0.75" bottom="0.75" header="0.3" footer="0.3"/>
  <pageSetup paperSize="9" orientation="portrait" r:id="rId1"/>
  <headerFooter>
    <oddHeader>&amp;C&amp;"-,Bold"&amp;24Projektübersicht</oddHead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702CFE-F18A-4CD0-8E75-3FCCA26C20C5}">
  <sheetPr codeName="Sheet6"/>
  <dimension ref="A1:I21"/>
  <sheetViews>
    <sheetView workbookViewId="0">
      <selection activeCell="F31" sqref="F31"/>
    </sheetView>
  </sheetViews>
  <sheetFormatPr defaultColWidth="8.77734375" defaultRowHeight="14.4" x14ac:dyDescent="0.3"/>
  <sheetData>
    <row r="1" spans="1:9" x14ac:dyDescent="0.3">
      <c r="A1" s="78" t="s">
        <v>46</v>
      </c>
      <c r="B1" s="78"/>
      <c r="C1" s="78"/>
      <c r="D1" s="78"/>
      <c r="E1" s="78"/>
      <c r="F1" s="78"/>
      <c r="G1" s="78"/>
      <c r="H1" s="78"/>
      <c r="I1" s="78"/>
    </row>
    <row r="2" spans="1:9" x14ac:dyDescent="0.3">
      <c r="A2" s="78"/>
      <c r="B2" s="78"/>
      <c r="C2" s="78"/>
      <c r="D2" s="78"/>
      <c r="E2" s="78"/>
      <c r="F2" s="78"/>
      <c r="G2" s="78"/>
      <c r="H2" s="78"/>
      <c r="I2" s="78"/>
    </row>
    <row r="3" spans="1:9" x14ac:dyDescent="0.3">
      <c r="A3" s="79"/>
      <c r="B3" s="79"/>
      <c r="C3" s="79"/>
      <c r="D3" s="79"/>
      <c r="E3" s="79"/>
      <c r="F3" s="79"/>
      <c r="G3" s="79"/>
      <c r="H3" s="79"/>
      <c r="I3" s="79"/>
    </row>
    <row r="4" spans="1:9" x14ac:dyDescent="0.3">
      <c r="A4" s="79"/>
      <c r="B4" s="79"/>
      <c r="C4" s="79"/>
      <c r="D4" s="79"/>
      <c r="E4" s="79"/>
      <c r="F4" s="79"/>
      <c r="G4" s="79"/>
      <c r="H4" s="79"/>
      <c r="I4" s="79"/>
    </row>
    <row r="5" spans="1:9" x14ac:dyDescent="0.3">
      <c r="A5" s="79"/>
      <c r="B5" s="79"/>
      <c r="C5" s="79"/>
      <c r="D5" s="79"/>
      <c r="E5" s="79"/>
      <c r="F5" s="79"/>
      <c r="G5" s="79"/>
      <c r="H5" s="79"/>
      <c r="I5" s="79"/>
    </row>
    <row r="6" spans="1:9" x14ac:dyDescent="0.3">
      <c r="A6" s="79"/>
      <c r="B6" s="79"/>
      <c r="C6" s="79"/>
      <c r="D6" s="79"/>
      <c r="E6" s="79"/>
      <c r="F6" s="79"/>
      <c r="G6" s="79"/>
      <c r="H6" s="79"/>
      <c r="I6" s="79"/>
    </row>
    <row r="7" spans="1:9" x14ac:dyDescent="0.3">
      <c r="A7" s="79"/>
      <c r="B7" s="79"/>
      <c r="C7" s="79"/>
      <c r="D7" s="79"/>
      <c r="E7" s="79"/>
      <c r="F7" s="79"/>
      <c r="G7" s="79"/>
      <c r="H7" s="79"/>
      <c r="I7" s="79"/>
    </row>
    <row r="8" spans="1:9" x14ac:dyDescent="0.3">
      <c r="A8" s="79"/>
      <c r="B8" s="79"/>
      <c r="C8" s="79"/>
      <c r="D8" s="79"/>
      <c r="E8" s="79"/>
      <c r="F8" s="79"/>
      <c r="G8" s="79"/>
      <c r="H8" s="79"/>
      <c r="I8" s="79"/>
    </row>
    <row r="9" spans="1:9" x14ac:dyDescent="0.3">
      <c r="A9" s="79"/>
      <c r="B9" s="79"/>
      <c r="C9" s="79"/>
      <c r="D9" s="79"/>
      <c r="E9" s="79"/>
      <c r="F9" s="79"/>
      <c r="G9" s="79"/>
      <c r="H9" s="79"/>
      <c r="I9" s="79"/>
    </row>
    <row r="10" spans="1:9" x14ac:dyDescent="0.3">
      <c r="A10" s="79"/>
      <c r="B10" s="79"/>
      <c r="C10" s="79"/>
      <c r="D10" s="79"/>
      <c r="E10" s="79"/>
      <c r="F10" s="79"/>
      <c r="G10" s="79"/>
      <c r="H10" s="79"/>
      <c r="I10" s="79"/>
    </row>
    <row r="11" spans="1:9" x14ac:dyDescent="0.3">
      <c r="A11" s="79"/>
      <c r="B11" s="79"/>
      <c r="C11" s="79"/>
      <c r="D11" s="79"/>
      <c r="E11" s="79"/>
      <c r="F11" s="79"/>
      <c r="G11" s="79"/>
      <c r="H11" s="79"/>
      <c r="I11" s="79"/>
    </row>
    <row r="12" spans="1:9" x14ac:dyDescent="0.3">
      <c r="A12" s="79"/>
      <c r="B12" s="79"/>
      <c r="C12" s="79"/>
      <c r="D12" s="79"/>
      <c r="E12" s="79"/>
      <c r="F12" s="79"/>
      <c r="G12" s="79"/>
      <c r="H12" s="79"/>
      <c r="I12" s="79"/>
    </row>
    <row r="13" spans="1:9" x14ac:dyDescent="0.3">
      <c r="A13" s="79"/>
      <c r="B13" s="79"/>
      <c r="C13" s="79"/>
      <c r="D13" s="79"/>
      <c r="E13" s="79"/>
      <c r="F13" s="79"/>
      <c r="G13" s="79"/>
      <c r="H13" s="79"/>
      <c r="I13" s="79"/>
    </row>
    <row r="14" spans="1:9" x14ac:dyDescent="0.3">
      <c r="A14" s="79"/>
      <c r="B14" s="79"/>
      <c r="C14" s="79"/>
      <c r="D14" s="79"/>
      <c r="E14" s="79"/>
      <c r="F14" s="79"/>
      <c r="G14" s="79"/>
      <c r="H14" s="79"/>
      <c r="I14" s="79"/>
    </row>
    <row r="15" spans="1:9" x14ac:dyDescent="0.3">
      <c r="A15" s="79"/>
      <c r="B15" s="79"/>
      <c r="C15" s="79"/>
      <c r="D15" s="79"/>
      <c r="E15" s="79"/>
      <c r="F15" s="79"/>
      <c r="G15" s="79"/>
      <c r="H15" s="79"/>
      <c r="I15" s="79"/>
    </row>
    <row r="16" spans="1:9" x14ac:dyDescent="0.3">
      <c r="A16" s="79"/>
      <c r="B16" s="79"/>
      <c r="C16" s="79"/>
      <c r="D16" s="79"/>
      <c r="E16" s="79"/>
      <c r="F16" s="79"/>
      <c r="G16" s="79"/>
      <c r="H16" s="79"/>
      <c r="I16" s="79"/>
    </row>
    <row r="17" spans="1:9" x14ac:dyDescent="0.3">
      <c r="A17" s="79"/>
      <c r="B17" s="79"/>
      <c r="C17" s="79"/>
      <c r="D17" s="79"/>
      <c r="E17" s="79"/>
      <c r="F17" s="79"/>
      <c r="G17" s="79"/>
      <c r="H17" s="79"/>
      <c r="I17" s="79"/>
    </row>
    <row r="18" spans="1:9" x14ac:dyDescent="0.3">
      <c r="A18" s="79"/>
      <c r="B18" s="79"/>
      <c r="C18" s="79"/>
      <c r="D18" s="79"/>
      <c r="E18" s="79"/>
      <c r="F18" s="79"/>
      <c r="G18" s="79"/>
      <c r="H18" s="79"/>
      <c r="I18" s="79"/>
    </row>
    <row r="19" spans="1:9" x14ac:dyDescent="0.3">
      <c r="A19" s="79"/>
      <c r="B19" s="79"/>
      <c r="C19" s="79"/>
      <c r="D19" s="79"/>
      <c r="E19" s="79"/>
      <c r="F19" s="79"/>
      <c r="G19" s="79"/>
      <c r="H19" s="79"/>
      <c r="I19" s="79"/>
    </row>
    <row r="20" spans="1:9" x14ac:dyDescent="0.3">
      <c r="A20" s="79"/>
      <c r="B20" s="79"/>
      <c r="C20" s="79"/>
      <c r="D20" s="79"/>
      <c r="E20" s="79"/>
      <c r="F20" s="79"/>
      <c r="G20" s="79"/>
      <c r="H20" s="79"/>
      <c r="I20" s="79"/>
    </row>
    <row r="21" spans="1:9" x14ac:dyDescent="0.3">
      <c r="A21" s="79"/>
      <c r="B21" s="79"/>
      <c r="C21" s="79"/>
      <c r="D21" s="79"/>
      <c r="E21" s="79"/>
      <c r="F21" s="79"/>
      <c r="G21" s="79"/>
      <c r="H21" s="79"/>
      <c r="I21" s="79"/>
    </row>
  </sheetData>
  <mergeCells count="2">
    <mergeCell ref="A3:I21"/>
    <mergeCell ref="A1:I2"/>
  </mergeCells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21029B-BE7D-4C49-A059-762C337256F8}">
  <sheetPr codeName="Sheet3"/>
  <dimension ref="A1:W51"/>
  <sheetViews>
    <sheetView zoomScale="85" zoomScaleNormal="85" zoomScalePageLayoutView="85" workbookViewId="0">
      <selection activeCell="D21" sqref="D21:F21"/>
    </sheetView>
  </sheetViews>
  <sheetFormatPr defaultColWidth="8.77734375" defaultRowHeight="14.4" x14ac:dyDescent="0.3"/>
  <cols>
    <col min="4" max="6" width="8.77734375" style="15"/>
  </cols>
  <sheetData>
    <row r="1" spans="1:23" x14ac:dyDescent="0.3">
      <c r="A1" s="78" t="s">
        <v>0</v>
      </c>
      <c r="B1" s="79"/>
      <c r="C1" s="79"/>
      <c r="D1" s="79"/>
      <c r="E1" s="79"/>
      <c r="F1" s="79"/>
      <c r="G1" s="79"/>
      <c r="H1" s="79"/>
      <c r="I1" s="79"/>
      <c r="J1" s="79"/>
      <c r="K1" s="79"/>
      <c r="L1" s="79"/>
      <c r="M1" s="79"/>
      <c r="N1" s="79"/>
      <c r="O1" s="79"/>
      <c r="P1" s="79"/>
      <c r="Q1" s="79"/>
      <c r="R1" s="79"/>
      <c r="S1" s="78" t="s">
        <v>46</v>
      </c>
      <c r="T1" s="79"/>
      <c r="U1" s="79"/>
      <c r="V1" s="79"/>
      <c r="W1" s="79"/>
    </row>
    <row r="2" spans="1:23" ht="15" thickBot="1" x14ac:dyDescent="0.35">
      <c r="A2" s="80"/>
      <c r="B2" s="80"/>
      <c r="C2" s="80"/>
      <c r="D2" s="80"/>
      <c r="E2" s="80"/>
      <c r="F2" s="80"/>
      <c r="G2" s="80"/>
      <c r="H2" s="80"/>
      <c r="I2" s="80"/>
      <c r="J2" s="80"/>
      <c r="K2" s="80"/>
      <c r="L2" s="80"/>
      <c r="M2" s="80"/>
      <c r="N2" s="80"/>
      <c r="O2" s="80"/>
      <c r="P2" s="80"/>
      <c r="Q2" s="80"/>
      <c r="R2" s="80"/>
      <c r="S2" s="79"/>
      <c r="T2" s="79"/>
      <c r="U2" s="79"/>
      <c r="V2" s="79"/>
      <c r="W2" s="79"/>
    </row>
    <row r="3" spans="1:23" ht="15" thickTop="1" x14ac:dyDescent="0.3">
      <c r="A3" s="81" t="s">
        <v>6</v>
      </c>
      <c r="B3" s="82"/>
      <c r="C3" s="83" t="s">
        <v>42</v>
      </c>
      <c r="D3" s="84"/>
      <c r="E3" s="84"/>
      <c r="F3" s="84"/>
      <c r="G3" s="84"/>
      <c r="H3" s="84"/>
      <c r="I3" s="85"/>
      <c r="J3" s="81" t="s">
        <v>6</v>
      </c>
      <c r="K3" s="82"/>
      <c r="L3" s="83" t="s">
        <v>41</v>
      </c>
      <c r="M3" s="84"/>
      <c r="N3" s="84"/>
      <c r="O3" s="84"/>
      <c r="P3" s="84"/>
      <c r="Q3" s="84"/>
      <c r="R3" s="85"/>
      <c r="S3" s="86"/>
      <c r="T3" s="79"/>
      <c r="U3" s="79"/>
      <c r="V3" s="79"/>
      <c r="W3" s="79"/>
    </row>
    <row r="4" spans="1:23" x14ac:dyDescent="0.3">
      <c r="A4" s="87" t="s">
        <v>7</v>
      </c>
      <c r="B4" s="88"/>
      <c r="C4" s="69" t="s">
        <v>44</v>
      </c>
      <c r="D4" s="69"/>
      <c r="E4" s="69"/>
      <c r="F4" s="69"/>
      <c r="G4" s="69"/>
      <c r="H4" s="69"/>
      <c r="I4" s="70"/>
      <c r="J4" s="87" t="s">
        <v>7</v>
      </c>
      <c r="K4" s="88"/>
      <c r="L4" s="69" t="s">
        <v>44</v>
      </c>
      <c r="M4" s="69"/>
      <c r="N4" s="69"/>
      <c r="O4" s="69"/>
      <c r="P4" s="69"/>
      <c r="Q4" s="69"/>
      <c r="R4" s="70"/>
      <c r="S4" s="86"/>
      <c r="T4" s="79"/>
      <c r="U4" s="79"/>
      <c r="V4" s="79"/>
      <c r="W4" s="79"/>
    </row>
    <row r="5" spans="1:23" x14ac:dyDescent="0.3">
      <c r="A5" s="71" t="s">
        <v>2</v>
      </c>
      <c r="B5" s="72"/>
      <c r="C5" s="73" t="s">
        <v>3</v>
      </c>
      <c r="D5" s="73"/>
      <c r="E5" s="73"/>
      <c r="F5" s="73"/>
      <c r="G5" s="73"/>
      <c r="H5" s="73"/>
      <c r="I5" s="74"/>
      <c r="J5" s="71" t="s">
        <v>2</v>
      </c>
      <c r="K5" s="72"/>
      <c r="L5" s="73" t="s">
        <v>5</v>
      </c>
      <c r="M5" s="73"/>
      <c r="N5" s="73"/>
      <c r="O5" s="73"/>
      <c r="P5" s="73"/>
      <c r="Q5" s="73"/>
      <c r="R5" s="74"/>
      <c r="S5" s="86"/>
      <c r="T5" s="79"/>
      <c r="U5" s="79"/>
      <c r="V5" s="79"/>
      <c r="W5" s="79"/>
    </row>
    <row r="6" spans="1:23" ht="15" thickBot="1" x14ac:dyDescent="0.35">
      <c r="A6" s="75"/>
      <c r="B6" s="76"/>
      <c r="C6" s="76"/>
      <c r="D6" s="76"/>
      <c r="E6" s="76"/>
      <c r="F6" s="76"/>
      <c r="G6" s="76"/>
      <c r="H6" s="76"/>
      <c r="I6" s="77"/>
      <c r="J6" s="75"/>
      <c r="K6" s="76"/>
      <c r="L6" s="76"/>
      <c r="M6" s="76"/>
      <c r="N6" s="76"/>
      <c r="O6" s="76"/>
      <c r="P6" s="76"/>
      <c r="Q6" s="76"/>
      <c r="R6" s="77"/>
      <c r="S6" s="86"/>
      <c r="T6" s="79"/>
      <c r="U6" s="79"/>
      <c r="V6" s="79"/>
      <c r="W6" s="79"/>
    </row>
    <row r="7" spans="1:23" ht="15" thickBot="1" x14ac:dyDescent="0.35">
      <c r="A7" s="100" t="s">
        <v>8</v>
      </c>
      <c r="B7" s="101"/>
      <c r="C7" s="106" t="s">
        <v>43</v>
      </c>
      <c r="D7" s="89" t="s">
        <v>9</v>
      </c>
      <c r="E7" s="89"/>
      <c r="F7" s="90"/>
      <c r="G7" s="32" t="s">
        <v>10</v>
      </c>
      <c r="H7" s="33"/>
      <c r="I7" s="95"/>
      <c r="J7" s="100" t="s">
        <v>8</v>
      </c>
      <c r="K7" s="101"/>
      <c r="L7" s="106" t="s">
        <v>43</v>
      </c>
      <c r="M7" s="89" t="s">
        <v>9</v>
      </c>
      <c r="N7" s="89"/>
      <c r="O7" s="90"/>
      <c r="P7" s="32" t="s">
        <v>10</v>
      </c>
      <c r="Q7" s="33"/>
      <c r="R7" s="95"/>
      <c r="S7" s="86"/>
      <c r="T7" s="79"/>
      <c r="U7" s="79"/>
      <c r="V7" s="79"/>
      <c r="W7" s="79"/>
    </row>
    <row r="8" spans="1:23" ht="15" thickTop="1" x14ac:dyDescent="0.3">
      <c r="A8" s="102"/>
      <c r="B8" s="103"/>
      <c r="C8" s="107"/>
      <c r="D8" s="91"/>
      <c r="E8" s="91"/>
      <c r="F8" s="92"/>
      <c r="G8" s="96" t="s">
        <v>11</v>
      </c>
      <c r="H8" s="96" t="s">
        <v>12</v>
      </c>
      <c r="I8" s="98" t="s">
        <v>13</v>
      </c>
      <c r="J8" s="102"/>
      <c r="K8" s="103"/>
      <c r="L8" s="107"/>
      <c r="M8" s="91"/>
      <c r="N8" s="91"/>
      <c r="O8" s="92"/>
      <c r="P8" s="96" t="s">
        <v>11</v>
      </c>
      <c r="Q8" s="96" t="s">
        <v>12</v>
      </c>
      <c r="R8" s="98" t="s">
        <v>13</v>
      </c>
      <c r="S8" s="86"/>
      <c r="T8" s="79"/>
      <c r="U8" s="79"/>
      <c r="V8" s="79"/>
      <c r="W8" s="79"/>
    </row>
    <row r="9" spans="1:23" x14ac:dyDescent="0.3">
      <c r="A9" s="102"/>
      <c r="B9" s="103"/>
      <c r="C9" s="107"/>
      <c r="D9" s="91"/>
      <c r="E9" s="91"/>
      <c r="F9" s="92"/>
      <c r="G9" s="96"/>
      <c r="H9" s="96"/>
      <c r="I9" s="98"/>
      <c r="J9" s="102"/>
      <c r="K9" s="103"/>
      <c r="L9" s="107"/>
      <c r="M9" s="91"/>
      <c r="N9" s="91"/>
      <c r="O9" s="92"/>
      <c r="P9" s="96"/>
      <c r="Q9" s="96"/>
      <c r="R9" s="98"/>
      <c r="S9" s="86"/>
      <c r="T9" s="79"/>
      <c r="U9" s="79"/>
      <c r="V9" s="79"/>
      <c r="W9" s="79"/>
    </row>
    <row r="10" spans="1:23" x14ac:dyDescent="0.3">
      <c r="A10" s="102"/>
      <c r="B10" s="103"/>
      <c r="C10" s="107"/>
      <c r="D10" s="91"/>
      <c r="E10" s="91"/>
      <c r="F10" s="92"/>
      <c r="G10" s="96"/>
      <c r="H10" s="96"/>
      <c r="I10" s="98"/>
      <c r="J10" s="102"/>
      <c r="K10" s="103"/>
      <c r="L10" s="107"/>
      <c r="M10" s="91"/>
      <c r="N10" s="91"/>
      <c r="O10" s="92"/>
      <c r="P10" s="96"/>
      <c r="Q10" s="96"/>
      <c r="R10" s="98"/>
      <c r="S10" s="86"/>
      <c r="T10" s="79"/>
      <c r="U10" s="79"/>
      <c r="V10" s="79"/>
      <c r="W10" s="79"/>
    </row>
    <row r="11" spans="1:23" ht="15" thickBot="1" x14ac:dyDescent="0.35">
      <c r="A11" s="104"/>
      <c r="B11" s="105"/>
      <c r="C11" s="108"/>
      <c r="D11" s="93"/>
      <c r="E11" s="93"/>
      <c r="F11" s="94"/>
      <c r="G11" s="97"/>
      <c r="H11" s="97"/>
      <c r="I11" s="99"/>
      <c r="J11" s="104"/>
      <c r="K11" s="105"/>
      <c r="L11" s="108"/>
      <c r="M11" s="93"/>
      <c r="N11" s="93"/>
      <c r="O11" s="94"/>
      <c r="P11" s="97"/>
      <c r="Q11" s="97"/>
      <c r="R11" s="99"/>
      <c r="S11" s="86"/>
      <c r="T11" s="79"/>
      <c r="U11" s="79"/>
      <c r="V11" s="79"/>
      <c r="W11" s="79"/>
    </row>
    <row r="12" spans="1:23" x14ac:dyDescent="0.3">
      <c r="A12" s="112" t="s">
        <v>14</v>
      </c>
      <c r="B12" s="113"/>
      <c r="C12" s="14"/>
      <c r="D12" s="114" t="s">
        <v>15</v>
      </c>
      <c r="E12" s="114"/>
      <c r="F12" s="115"/>
      <c r="G12" s="2">
        <v>0.5</v>
      </c>
      <c r="H12" s="3">
        <v>0.56597222222222221</v>
      </c>
      <c r="I12" s="4">
        <f>H12-G12</f>
        <v>6.597222222222221E-2</v>
      </c>
      <c r="J12" s="112">
        <v>44852</v>
      </c>
      <c r="K12" s="113"/>
      <c r="L12" s="14"/>
      <c r="M12" s="69" t="s">
        <v>16</v>
      </c>
      <c r="N12" s="69"/>
      <c r="O12" s="111"/>
      <c r="P12" s="2">
        <v>0.52430555555555558</v>
      </c>
      <c r="Q12" s="3">
        <v>0.64374999999999993</v>
      </c>
      <c r="R12" s="4">
        <f>Q12-P12</f>
        <v>0.11944444444444435</v>
      </c>
    </row>
    <row r="13" spans="1:23" x14ac:dyDescent="0.3">
      <c r="A13" s="109" t="s">
        <v>17</v>
      </c>
      <c r="B13" s="110"/>
      <c r="C13" s="7"/>
      <c r="D13" s="69" t="s">
        <v>18</v>
      </c>
      <c r="E13" s="69"/>
      <c r="F13" s="111"/>
      <c r="G13" s="5">
        <v>0.53125</v>
      </c>
      <c r="H13" s="6">
        <v>0.64236111111111105</v>
      </c>
      <c r="I13" s="4">
        <f>H13-G13</f>
        <v>0.11111111111111105</v>
      </c>
      <c r="J13" s="109">
        <v>44853</v>
      </c>
      <c r="K13" s="110"/>
      <c r="L13" s="7"/>
      <c r="M13" s="69" t="s">
        <v>19</v>
      </c>
      <c r="N13" s="69"/>
      <c r="O13" s="111"/>
      <c r="P13" s="5">
        <v>0.625</v>
      </c>
      <c r="Q13" s="6">
        <v>0.66666666666666663</v>
      </c>
      <c r="R13" s="4">
        <f>Q13-P13</f>
        <v>4.166666666666663E-2</v>
      </c>
    </row>
    <row r="14" spans="1:23" x14ac:dyDescent="0.3">
      <c r="A14" s="109" t="s">
        <v>17</v>
      </c>
      <c r="B14" s="110"/>
      <c r="C14" s="7"/>
      <c r="D14" s="69" t="s">
        <v>20</v>
      </c>
      <c r="E14" s="69"/>
      <c r="F14" s="111"/>
      <c r="G14" s="5">
        <v>0.60763888888888895</v>
      </c>
      <c r="H14" s="6">
        <v>0.64236111111111105</v>
      </c>
      <c r="I14" s="4">
        <f t="shared" ref="I14:I49" si="0">H14-G14</f>
        <v>3.4722222222222099E-2</v>
      </c>
      <c r="J14" s="109">
        <v>44853</v>
      </c>
      <c r="K14" s="110"/>
      <c r="L14" s="17"/>
      <c r="M14" s="69" t="s">
        <v>21</v>
      </c>
      <c r="N14" s="69"/>
      <c r="O14" s="111"/>
      <c r="P14" s="5">
        <v>0.70833333333333337</v>
      </c>
      <c r="Q14" s="6">
        <v>0.77083333333333337</v>
      </c>
      <c r="R14" s="4">
        <f t="shared" ref="R14:R40" si="1">Q14-P14</f>
        <v>6.25E-2</v>
      </c>
    </row>
    <row r="15" spans="1:23" x14ac:dyDescent="0.3">
      <c r="A15" s="109" t="s">
        <v>22</v>
      </c>
      <c r="B15" s="110"/>
      <c r="C15" s="7"/>
      <c r="D15" s="69" t="s">
        <v>23</v>
      </c>
      <c r="E15" s="69"/>
      <c r="F15" s="111"/>
      <c r="G15" s="5">
        <v>0.33333333333333331</v>
      </c>
      <c r="H15" s="6">
        <v>0.4513888888888889</v>
      </c>
      <c r="I15" s="4">
        <f t="shared" si="0"/>
        <v>0.11805555555555558</v>
      </c>
      <c r="J15" s="109">
        <v>44854</v>
      </c>
      <c r="K15" s="110"/>
      <c r="L15" s="7"/>
      <c r="M15" s="69" t="s">
        <v>24</v>
      </c>
      <c r="N15" s="69"/>
      <c r="O15" s="111"/>
      <c r="P15" s="5">
        <v>0.39583333333333331</v>
      </c>
      <c r="Q15" s="6">
        <v>0.45833333333333331</v>
      </c>
      <c r="R15" s="4">
        <f t="shared" si="1"/>
        <v>6.25E-2</v>
      </c>
    </row>
    <row r="16" spans="1:23" x14ac:dyDescent="0.3">
      <c r="A16" s="109" t="s">
        <v>25</v>
      </c>
      <c r="B16" s="110"/>
      <c r="C16" s="7"/>
      <c r="D16" s="69" t="s">
        <v>26</v>
      </c>
      <c r="E16" s="69"/>
      <c r="F16" s="111"/>
      <c r="G16" s="5">
        <v>0.36805555555555558</v>
      </c>
      <c r="H16" s="6">
        <v>0.4513888888888889</v>
      </c>
      <c r="I16" s="4">
        <f t="shared" si="0"/>
        <v>8.3333333333333315E-2</v>
      </c>
      <c r="J16" s="109">
        <v>44855</v>
      </c>
      <c r="K16" s="116"/>
      <c r="L16" s="7"/>
      <c r="M16" s="69" t="s">
        <v>27</v>
      </c>
      <c r="N16" s="69"/>
      <c r="O16" s="111"/>
      <c r="P16" s="5">
        <v>0.625</v>
      </c>
      <c r="Q16" s="6">
        <v>0.66666666666666663</v>
      </c>
      <c r="R16" s="4">
        <f>Q16-P16</f>
        <v>4.166666666666663E-2</v>
      </c>
    </row>
    <row r="17" spans="1:18" x14ac:dyDescent="0.3">
      <c r="A17" s="109" t="s">
        <v>28</v>
      </c>
      <c r="B17" s="110"/>
      <c r="C17" s="7"/>
      <c r="D17" s="69" t="s">
        <v>29</v>
      </c>
      <c r="E17" s="69"/>
      <c r="F17" s="111"/>
      <c r="G17" s="5">
        <v>0.77083333333333337</v>
      </c>
      <c r="H17" s="6">
        <v>0.85416666666666663</v>
      </c>
      <c r="I17" s="4">
        <f t="shared" si="0"/>
        <v>8.3333333333333259E-2</v>
      </c>
      <c r="J17" s="109">
        <v>44877</v>
      </c>
      <c r="K17" s="110"/>
      <c r="L17" s="7"/>
      <c r="M17" s="69" t="s">
        <v>30</v>
      </c>
      <c r="N17" s="69"/>
      <c r="O17" s="111"/>
      <c r="P17" s="5">
        <v>0.625</v>
      </c>
      <c r="Q17" s="6">
        <v>0.72916666666666663</v>
      </c>
      <c r="R17" s="4">
        <f t="shared" si="1"/>
        <v>0.10416666666666663</v>
      </c>
    </row>
    <row r="18" spans="1:18" x14ac:dyDescent="0.3">
      <c r="A18" s="109" t="s">
        <v>28</v>
      </c>
      <c r="B18" s="110"/>
      <c r="C18" s="7"/>
      <c r="D18" s="69" t="s">
        <v>31</v>
      </c>
      <c r="E18" s="69"/>
      <c r="F18" s="111"/>
      <c r="G18" s="5">
        <v>0.85416666666666663</v>
      </c>
      <c r="H18" s="6">
        <v>0.89583333333333337</v>
      </c>
      <c r="I18" s="4">
        <f t="shared" si="0"/>
        <v>4.1666666666666741E-2</v>
      </c>
      <c r="J18" s="109">
        <v>44846</v>
      </c>
      <c r="K18" s="110"/>
      <c r="L18" s="7"/>
      <c r="M18" s="69" t="s">
        <v>32</v>
      </c>
      <c r="N18" s="69"/>
      <c r="O18" s="111"/>
      <c r="P18" s="5">
        <v>0.80555555555555547</v>
      </c>
      <c r="Q18" s="6">
        <v>0.90277777777777779</v>
      </c>
      <c r="R18" s="4">
        <f t="shared" si="1"/>
        <v>9.7222222222222321E-2</v>
      </c>
    </row>
    <row r="19" spans="1:18" x14ac:dyDescent="0.3">
      <c r="A19" s="109">
        <v>44878</v>
      </c>
      <c r="B19" s="110"/>
      <c r="C19" s="7"/>
      <c r="D19" s="69" t="s">
        <v>33</v>
      </c>
      <c r="E19" s="69"/>
      <c r="F19" s="111"/>
      <c r="G19" s="5">
        <v>0.33333333333333331</v>
      </c>
      <c r="H19" s="6">
        <v>0.48958333333333331</v>
      </c>
      <c r="I19" s="4">
        <f t="shared" si="0"/>
        <v>0.15625</v>
      </c>
      <c r="J19" s="109">
        <v>44878</v>
      </c>
      <c r="K19" s="110"/>
      <c r="L19" s="7"/>
      <c r="M19" s="69" t="s">
        <v>34</v>
      </c>
      <c r="N19" s="69"/>
      <c r="O19" s="111"/>
      <c r="P19" s="5">
        <v>0.35416666666666669</v>
      </c>
      <c r="Q19" s="6">
        <v>0.49305555555555558</v>
      </c>
      <c r="R19" s="4">
        <f>Q19-P19</f>
        <v>0.1388888888888889</v>
      </c>
    </row>
    <row r="20" spans="1:18" x14ac:dyDescent="0.3">
      <c r="A20" s="109" t="s">
        <v>35</v>
      </c>
      <c r="B20" s="110"/>
      <c r="C20" s="7"/>
      <c r="D20" s="69" t="s">
        <v>36</v>
      </c>
      <c r="E20" s="69"/>
      <c r="F20" s="111"/>
      <c r="G20" s="5">
        <v>0.41666666666666669</v>
      </c>
      <c r="H20" s="6">
        <v>0.5</v>
      </c>
      <c r="I20" s="4">
        <f t="shared" si="0"/>
        <v>8.3333333333333315E-2</v>
      </c>
      <c r="J20" s="109">
        <v>44879</v>
      </c>
      <c r="K20" s="110"/>
      <c r="L20" s="7"/>
      <c r="M20" s="69" t="s">
        <v>37</v>
      </c>
      <c r="N20" s="69"/>
      <c r="O20" s="111"/>
      <c r="P20" s="5">
        <v>0.70833333333333337</v>
      </c>
      <c r="Q20" s="6">
        <v>0.72916666666666663</v>
      </c>
      <c r="R20" s="4">
        <f t="shared" si="1"/>
        <v>2.0833333333333259E-2</v>
      </c>
    </row>
    <row r="21" spans="1:18" x14ac:dyDescent="0.3">
      <c r="A21" s="109" t="s">
        <v>39</v>
      </c>
      <c r="B21" s="110"/>
      <c r="C21" s="7"/>
      <c r="D21" s="69" t="s">
        <v>40</v>
      </c>
      <c r="E21" s="69"/>
      <c r="F21" s="111"/>
      <c r="G21" s="5">
        <v>0.36805555555555558</v>
      </c>
      <c r="H21" s="6">
        <v>0.44722222222222219</v>
      </c>
      <c r="I21" s="4">
        <f t="shared" si="0"/>
        <v>7.9166666666666607E-2</v>
      </c>
      <c r="J21" s="109"/>
      <c r="K21" s="110"/>
      <c r="L21" s="7"/>
      <c r="M21" s="110"/>
      <c r="N21" s="110"/>
      <c r="O21" s="117"/>
      <c r="P21" s="5"/>
      <c r="Q21" s="6"/>
      <c r="R21" s="4">
        <f t="shared" si="1"/>
        <v>0</v>
      </c>
    </row>
    <row r="22" spans="1:18" x14ac:dyDescent="0.3">
      <c r="A22" s="109" t="s">
        <v>39</v>
      </c>
      <c r="B22" s="110"/>
      <c r="C22" s="7"/>
      <c r="D22" s="110" t="s">
        <v>47</v>
      </c>
      <c r="E22" s="110"/>
      <c r="F22" s="117"/>
      <c r="G22" s="5">
        <v>0.45833333333333331</v>
      </c>
      <c r="H22" s="6">
        <v>0.47916666666666669</v>
      </c>
      <c r="I22" s="4">
        <f t="shared" si="0"/>
        <v>2.083333333333337E-2</v>
      </c>
      <c r="J22" s="109"/>
      <c r="K22" s="110"/>
      <c r="L22" s="7"/>
      <c r="M22" s="110"/>
      <c r="N22" s="110"/>
      <c r="O22" s="117"/>
      <c r="P22" s="5"/>
      <c r="Q22" s="6"/>
      <c r="R22" s="4">
        <f t="shared" si="1"/>
        <v>0</v>
      </c>
    </row>
    <row r="23" spans="1:18" x14ac:dyDescent="0.3">
      <c r="A23" s="109"/>
      <c r="B23" s="110"/>
      <c r="C23" s="7"/>
      <c r="D23" s="110"/>
      <c r="E23" s="110"/>
      <c r="F23" s="117"/>
      <c r="G23" s="5"/>
      <c r="H23" s="6"/>
      <c r="I23" s="4">
        <f t="shared" si="0"/>
        <v>0</v>
      </c>
      <c r="J23" s="109"/>
      <c r="K23" s="110"/>
      <c r="L23" s="7"/>
      <c r="M23" s="110"/>
      <c r="N23" s="110"/>
      <c r="O23" s="117"/>
      <c r="P23" s="5"/>
      <c r="Q23" s="6"/>
      <c r="R23" s="4">
        <f t="shared" si="1"/>
        <v>0</v>
      </c>
    </row>
    <row r="24" spans="1:18" x14ac:dyDescent="0.3">
      <c r="A24" s="109"/>
      <c r="B24" s="110"/>
      <c r="C24" s="7"/>
      <c r="D24" s="110"/>
      <c r="E24" s="110"/>
      <c r="F24" s="117"/>
      <c r="G24" s="5"/>
      <c r="H24" s="6"/>
      <c r="I24" s="4">
        <f t="shared" si="0"/>
        <v>0</v>
      </c>
      <c r="J24" s="109"/>
      <c r="K24" s="110"/>
      <c r="L24" s="7"/>
      <c r="M24" s="110"/>
      <c r="N24" s="110"/>
      <c r="O24" s="117"/>
      <c r="P24" s="5"/>
      <c r="Q24" s="6"/>
      <c r="R24" s="4">
        <f t="shared" si="1"/>
        <v>0</v>
      </c>
    </row>
    <row r="25" spans="1:18" x14ac:dyDescent="0.3">
      <c r="A25" s="109"/>
      <c r="B25" s="110"/>
      <c r="C25" s="7"/>
      <c r="D25" s="110"/>
      <c r="E25" s="110"/>
      <c r="F25" s="117"/>
      <c r="G25" s="5"/>
      <c r="H25" s="6"/>
      <c r="I25" s="4">
        <f t="shared" si="0"/>
        <v>0</v>
      </c>
      <c r="J25" s="109"/>
      <c r="K25" s="110"/>
      <c r="L25" s="7"/>
      <c r="M25" s="110"/>
      <c r="N25" s="110"/>
      <c r="O25" s="117"/>
      <c r="P25" s="5"/>
      <c r="Q25" s="6"/>
      <c r="R25" s="4">
        <f t="shared" si="1"/>
        <v>0</v>
      </c>
    </row>
    <row r="26" spans="1:18" x14ac:dyDescent="0.3">
      <c r="A26" s="118"/>
      <c r="B26" s="110"/>
      <c r="C26" s="7"/>
      <c r="D26" s="110"/>
      <c r="E26" s="110"/>
      <c r="F26" s="117"/>
      <c r="G26" s="7"/>
      <c r="H26" s="8"/>
      <c r="I26" s="4">
        <f t="shared" si="0"/>
        <v>0</v>
      </c>
      <c r="J26" s="109"/>
      <c r="K26" s="110"/>
      <c r="L26" s="7"/>
      <c r="M26" s="110"/>
      <c r="N26" s="110"/>
      <c r="O26" s="117"/>
      <c r="P26" s="5"/>
      <c r="Q26" s="6"/>
      <c r="R26" s="4">
        <f t="shared" si="1"/>
        <v>0</v>
      </c>
    </row>
    <row r="27" spans="1:18" x14ac:dyDescent="0.3">
      <c r="A27" s="118"/>
      <c r="B27" s="110"/>
      <c r="C27" s="7"/>
      <c r="D27" s="110"/>
      <c r="E27" s="110"/>
      <c r="F27" s="117"/>
      <c r="G27" s="7"/>
      <c r="H27" s="8"/>
      <c r="I27" s="4">
        <f t="shared" si="0"/>
        <v>0</v>
      </c>
      <c r="J27" s="118"/>
      <c r="K27" s="110"/>
      <c r="L27" s="7"/>
      <c r="M27" s="110"/>
      <c r="N27" s="110"/>
      <c r="O27" s="117"/>
      <c r="P27" s="7"/>
      <c r="Q27" s="8"/>
      <c r="R27" s="4">
        <f t="shared" si="1"/>
        <v>0</v>
      </c>
    </row>
    <row r="28" spans="1:18" x14ac:dyDescent="0.3">
      <c r="A28" s="118"/>
      <c r="B28" s="110"/>
      <c r="C28" s="7"/>
      <c r="D28" s="110"/>
      <c r="E28" s="110"/>
      <c r="F28" s="117"/>
      <c r="G28" s="7"/>
      <c r="H28" s="8"/>
      <c r="I28" s="4">
        <f t="shared" si="0"/>
        <v>0</v>
      </c>
      <c r="J28" s="118"/>
      <c r="K28" s="110"/>
      <c r="L28" s="7"/>
      <c r="M28" s="110"/>
      <c r="N28" s="110"/>
      <c r="O28" s="117"/>
      <c r="P28" s="7"/>
      <c r="Q28" s="8"/>
      <c r="R28" s="4">
        <f t="shared" si="1"/>
        <v>0</v>
      </c>
    </row>
    <row r="29" spans="1:18" x14ac:dyDescent="0.3">
      <c r="A29" s="118"/>
      <c r="B29" s="110"/>
      <c r="C29" s="7"/>
      <c r="D29" s="110"/>
      <c r="E29" s="110"/>
      <c r="F29" s="117"/>
      <c r="G29" s="7"/>
      <c r="H29" s="8"/>
      <c r="I29" s="4">
        <f t="shared" si="0"/>
        <v>0</v>
      </c>
      <c r="J29" s="118"/>
      <c r="K29" s="110"/>
      <c r="L29" s="7"/>
      <c r="M29" s="110"/>
      <c r="N29" s="110"/>
      <c r="O29" s="117"/>
      <c r="P29" s="7"/>
      <c r="Q29" s="8"/>
      <c r="R29" s="4">
        <f t="shared" si="1"/>
        <v>0</v>
      </c>
    </row>
    <row r="30" spans="1:18" x14ac:dyDescent="0.3">
      <c r="A30" s="118"/>
      <c r="B30" s="110"/>
      <c r="C30" s="7"/>
      <c r="D30" s="110"/>
      <c r="E30" s="110"/>
      <c r="F30" s="117"/>
      <c r="G30" s="7"/>
      <c r="H30" s="8"/>
      <c r="I30" s="4">
        <f t="shared" si="0"/>
        <v>0</v>
      </c>
      <c r="J30" s="118"/>
      <c r="K30" s="110"/>
      <c r="L30" s="7"/>
      <c r="M30" s="110"/>
      <c r="N30" s="110"/>
      <c r="O30" s="117"/>
      <c r="P30" s="7"/>
      <c r="Q30" s="8"/>
      <c r="R30" s="4">
        <f t="shared" si="1"/>
        <v>0</v>
      </c>
    </row>
    <row r="31" spans="1:18" x14ac:dyDescent="0.3">
      <c r="A31" s="118"/>
      <c r="B31" s="110"/>
      <c r="C31" s="7"/>
      <c r="D31" s="110"/>
      <c r="E31" s="110"/>
      <c r="F31" s="117"/>
      <c r="G31" s="7"/>
      <c r="H31" s="8"/>
      <c r="I31" s="4">
        <f t="shared" si="0"/>
        <v>0</v>
      </c>
      <c r="J31" s="118"/>
      <c r="K31" s="110"/>
      <c r="L31" s="7"/>
      <c r="M31" s="110"/>
      <c r="N31" s="110"/>
      <c r="O31" s="117"/>
      <c r="P31" s="7"/>
      <c r="Q31" s="8"/>
      <c r="R31" s="4">
        <f t="shared" si="1"/>
        <v>0</v>
      </c>
    </row>
    <row r="32" spans="1:18" x14ac:dyDescent="0.3">
      <c r="A32" s="118"/>
      <c r="B32" s="110"/>
      <c r="C32" s="7"/>
      <c r="D32" s="110"/>
      <c r="E32" s="110"/>
      <c r="F32" s="117"/>
      <c r="G32" s="7"/>
      <c r="H32" s="8"/>
      <c r="I32" s="4">
        <f t="shared" si="0"/>
        <v>0</v>
      </c>
      <c r="J32" s="118"/>
      <c r="K32" s="110"/>
      <c r="L32" s="7"/>
      <c r="M32" s="110"/>
      <c r="N32" s="110"/>
      <c r="O32" s="117"/>
      <c r="P32" s="7"/>
      <c r="Q32" s="8"/>
      <c r="R32" s="4">
        <f t="shared" si="1"/>
        <v>0</v>
      </c>
    </row>
    <row r="33" spans="1:18" x14ac:dyDescent="0.3">
      <c r="A33" s="118"/>
      <c r="B33" s="110"/>
      <c r="C33" s="7"/>
      <c r="D33" s="110"/>
      <c r="E33" s="110"/>
      <c r="F33" s="117"/>
      <c r="G33" s="7"/>
      <c r="H33" s="8"/>
      <c r="I33" s="4">
        <f t="shared" si="0"/>
        <v>0</v>
      </c>
      <c r="J33" s="118"/>
      <c r="K33" s="110"/>
      <c r="L33" s="7"/>
      <c r="M33" s="110"/>
      <c r="N33" s="110"/>
      <c r="O33" s="117"/>
      <c r="P33" s="7"/>
      <c r="Q33" s="8"/>
      <c r="R33" s="4">
        <f t="shared" si="1"/>
        <v>0</v>
      </c>
    </row>
    <row r="34" spans="1:18" x14ac:dyDescent="0.3">
      <c r="A34" s="118"/>
      <c r="B34" s="110"/>
      <c r="C34" s="7"/>
      <c r="D34" s="110"/>
      <c r="E34" s="110"/>
      <c r="F34" s="117"/>
      <c r="G34" s="7"/>
      <c r="H34" s="8"/>
      <c r="I34" s="4">
        <f t="shared" si="0"/>
        <v>0</v>
      </c>
      <c r="J34" s="118"/>
      <c r="K34" s="110"/>
      <c r="L34" s="7"/>
      <c r="M34" s="110"/>
      <c r="N34" s="110"/>
      <c r="O34" s="117"/>
      <c r="P34" s="7"/>
      <c r="Q34" s="8"/>
      <c r="R34" s="4">
        <f t="shared" si="1"/>
        <v>0</v>
      </c>
    </row>
    <row r="35" spans="1:18" x14ac:dyDescent="0.3">
      <c r="A35" s="118"/>
      <c r="B35" s="110"/>
      <c r="C35" s="7"/>
      <c r="D35" s="110"/>
      <c r="E35" s="110"/>
      <c r="F35" s="117"/>
      <c r="G35" s="7"/>
      <c r="H35" s="8"/>
      <c r="I35" s="4">
        <f t="shared" si="0"/>
        <v>0</v>
      </c>
      <c r="J35" s="118"/>
      <c r="K35" s="110"/>
      <c r="L35" s="7"/>
      <c r="M35" s="110"/>
      <c r="N35" s="110"/>
      <c r="O35" s="117"/>
      <c r="P35" s="7"/>
      <c r="Q35" s="8"/>
      <c r="R35" s="4">
        <f t="shared" si="1"/>
        <v>0</v>
      </c>
    </row>
    <row r="36" spans="1:18" x14ac:dyDescent="0.3">
      <c r="A36" s="118"/>
      <c r="B36" s="110"/>
      <c r="C36" s="7"/>
      <c r="D36" s="110"/>
      <c r="E36" s="110"/>
      <c r="F36" s="117"/>
      <c r="G36" s="7"/>
      <c r="H36" s="8"/>
      <c r="I36" s="4">
        <f t="shared" si="0"/>
        <v>0</v>
      </c>
      <c r="J36" s="118"/>
      <c r="K36" s="110"/>
      <c r="L36" s="7"/>
      <c r="M36" s="110"/>
      <c r="N36" s="110"/>
      <c r="O36" s="117"/>
      <c r="P36" s="7"/>
      <c r="Q36" s="8"/>
      <c r="R36" s="4">
        <f t="shared" si="1"/>
        <v>0</v>
      </c>
    </row>
    <row r="37" spans="1:18" x14ac:dyDescent="0.3">
      <c r="A37" s="118"/>
      <c r="B37" s="110"/>
      <c r="C37" s="7"/>
      <c r="D37" s="110"/>
      <c r="E37" s="110"/>
      <c r="F37" s="117"/>
      <c r="G37" s="7"/>
      <c r="H37" s="8"/>
      <c r="I37" s="4">
        <f t="shared" si="0"/>
        <v>0</v>
      </c>
      <c r="J37" s="118"/>
      <c r="K37" s="110"/>
      <c r="L37" s="7"/>
      <c r="M37" s="110"/>
      <c r="N37" s="110"/>
      <c r="O37" s="117"/>
      <c r="P37" s="7"/>
      <c r="Q37" s="8"/>
      <c r="R37" s="4">
        <f t="shared" si="1"/>
        <v>0</v>
      </c>
    </row>
    <row r="38" spans="1:18" x14ac:dyDescent="0.3">
      <c r="A38" s="118"/>
      <c r="B38" s="110"/>
      <c r="C38" s="7"/>
      <c r="D38" s="110"/>
      <c r="E38" s="110"/>
      <c r="F38" s="117"/>
      <c r="G38" s="7"/>
      <c r="H38" s="8"/>
      <c r="I38" s="4">
        <f t="shared" si="0"/>
        <v>0</v>
      </c>
      <c r="J38" s="118"/>
      <c r="K38" s="110"/>
      <c r="L38" s="7"/>
      <c r="M38" s="110"/>
      <c r="N38" s="110"/>
      <c r="O38" s="117"/>
      <c r="P38" s="7"/>
      <c r="Q38" s="8"/>
      <c r="R38" s="4">
        <f t="shared" si="1"/>
        <v>0</v>
      </c>
    </row>
    <row r="39" spans="1:18" x14ac:dyDescent="0.3">
      <c r="A39" s="118"/>
      <c r="B39" s="110"/>
      <c r="C39" s="7"/>
      <c r="D39" s="110"/>
      <c r="E39" s="110"/>
      <c r="F39" s="117"/>
      <c r="G39" s="7"/>
      <c r="H39" s="8"/>
      <c r="I39" s="4">
        <f t="shared" si="0"/>
        <v>0</v>
      </c>
      <c r="J39" s="118"/>
      <c r="K39" s="110"/>
      <c r="L39" s="7"/>
      <c r="M39" s="110"/>
      <c r="N39" s="110"/>
      <c r="O39" s="117"/>
      <c r="P39" s="7"/>
      <c r="Q39" s="8"/>
      <c r="R39" s="4">
        <f t="shared" si="1"/>
        <v>0</v>
      </c>
    </row>
    <row r="40" spans="1:18" x14ac:dyDescent="0.3">
      <c r="A40" s="119"/>
      <c r="B40" s="120"/>
      <c r="C40" s="7"/>
      <c r="D40" s="110"/>
      <c r="E40" s="110"/>
      <c r="F40" s="117"/>
      <c r="G40" s="9"/>
      <c r="H40" s="1"/>
      <c r="I40" s="4">
        <f>H40-G40</f>
        <v>0</v>
      </c>
      <c r="J40" s="118"/>
      <c r="K40" s="110"/>
      <c r="L40" s="7"/>
      <c r="M40" s="110"/>
      <c r="N40" s="110"/>
      <c r="O40" s="117"/>
      <c r="P40" s="7"/>
      <c r="Q40" s="8"/>
      <c r="R40" s="4">
        <f t="shared" si="1"/>
        <v>0</v>
      </c>
    </row>
    <row r="41" spans="1:18" x14ac:dyDescent="0.3">
      <c r="A41" s="118"/>
      <c r="B41" s="110"/>
      <c r="C41" s="7"/>
      <c r="D41" s="110"/>
      <c r="E41" s="110"/>
      <c r="F41" s="117"/>
      <c r="G41" s="7"/>
      <c r="H41" s="8"/>
      <c r="I41" s="4">
        <f t="shared" si="0"/>
        <v>0</v>
      </c>
      <c r="J41" s="119"/>
      <c r="K41" s="120"/>
      <c r="L41" s="7"/>
      <c r="M41" s="110"/>
      <c r="N41" s="110"/>
      <c r="O41" s="117"/>
      <c r="P41" s="9"/>
      <c r="Q41" s="1"/>
      <c r="R41" s="4">
        <f>Q41-P41</f>
        <v>0</v>
      </c>
    </row>
    <row r="42" spans="1:18" x14ac:dyDescent="0.3">
      <c r="A42" s="118"/>
      <c r="B42" s="110"/>
      <c r="C42" s="7"/>
      <c r="D42" s="110"/>
      <c r="E42" s="110"/>
      <c r="F42" s="117"/>
      <c r="G42" s="7"/>
      <c r="H42" s="8"/>
      <c r="I42" s="4">
        <f t="shared" si="0"/>
        <v>0</v>
      </c>
      <c r="J42" s="118"/>
      <c r="K42" s="110"/>
      <c r="L42" s="7"/>
      <c r="M42" s="110"/>
      <c r="N42" s="110"/>
      <c r="O42" s="117"/>
      <c r="P42" s="7"/>
      <c r="Q42" s="8"/>
      <c r="R42" s="4">
        <f t="shared" ref="R42:R49" si="2">Q42-P42</f>
        <v>0</v>
      </c>
    </row>
    <row r="43" spans="1:18" x14ac:dyDescent="0.3">
      <c r="A43" s="118"/>
      <c r="B43" s="110"/>
      <c r="C43" s="7"/>
      <c r="D43" s="110"/>
      <c r="E43" s="110"/>
      <c r="F43" s="117"/>
      <c r="G43" s="7"/>
      <c r="H43" s="8"/>
      <c r="I43" s="4">
        <f t="shared" si="0"/>
        <v>0</v>
      </c>
      <c r="J43" s="118"/>
      <c r="K43" s="110"/>
      <c r="L43" s="7"/>
      <c r="M43" s="110"/>
      <c r="N43" s="110"/>
      <c r="O43" s="117"/>
      <c r="P43" s="7"/>
      <c r="Q43" s="8"/>
      <c r="R43" s="4">
        <f t="shared" si="2"/>
        <v>0</v>
      </c>
    </row>
    <row r="44" spans="1:18" x14ac:dyDescent="0.3">
      <c r="A44" s="118"/>
      <c r="B44" s="110"/>
      <c r="C44" s="7"/>
      <c r="D44" s="110"/>
      <c r="E44" s="110"/>
      <c r="F44" s="117"/>
      <c r="G44" s="7"/>
      <c r="H44" s="8"/>
      <c r="I44" s="4">
        <f t="shared" si="0"/>
        <v>0</v>
      </c>
      <c r="J44" s="118"/>
      <c r="K44" s="110"/>
      <c r="L44" s="7"/>
      <c r="M44" s="110"/>
      <c r="N44" s="110"/>
      <c r="O44" s="117"/>
      <c r="P44" s="7"/>
      <c r="Q44" s="8"/>
      <c r="R44" s="4">
        <f t="shared" si="2"/>
        <v>0</v>
      </c>
    </row>
    <row r="45" spans="1:18" x14ac:dyDescent="0.3">
      <c r="A45" s="118"/>
      <c r="B45" s="110"/>
      <c r="C45" s="7"/>
      <c r="D45" s="110"/>
      <c r="E45" s="110"/>
      <c r="F45" s="117"/>
      <c r="G45" s="7"/>
      <c r="H45" s="8"/>
      <c r="I45" s="4">
        <f t="shared" si="0"/>
        <v>0</v>
      </c>
      <c r="J45" s="118"/>
      <c r="K45" s="110"/>
      <c r="L45" s="7"/>
      <c r="M45" s="110"/>
      <c r="N45" s="110"/>
      <c r="O45" s="117"/>
      <c r="P45" s="7"/>
      <c r="Q45" s="8"/>
      <c r="R45" s="4">
        <f t="shared" si="2"/>
        <v>0</v>
      </c>
    </row>
    <row r="46" spans="1:18" x14ac:dyDescent="0.3">
      <c r="A46" s="118"/>
      <c r="B46" s="110"/>
      <c r="C46" s="7"/>
      <c r="D46" s="110"/>
      <c r="E46" s="110"/>
      <c r="F46" s="117"/>
      <c r="G46" s="7"/>
      <c r="H46" s="8"/>
      <c r="I46" s="4">
        <f t="shared" si="0"/>
        <v>0</v>
      </c>
      <c r="J46" s="118"/>
      <c r="K46" s="110"/>
      <c r="L46" s="7"/>
      <c r="M46" s="110"/>
      <c r="N46" s="110"/>
      <c r="O46" s="117"/>
      <c r="P46" s="7"/>
      <c r="Q46" s="8"/>
      <c r="R46" s="4">
        <f t="shared" si="2"/>
        <v>0</v>
      </c>
    </row>
    <row r="47" spans="1:18" x14ac:dyDescent="0.3">
      <c r="A47" s="118"/>
      <c r="B47" s="110"/>
      <c r="C47" s="7"/>
      <c r="D47" s="110"/>
      <c r="E47" s="110"/>
      <c r="F47" s="117"/>
      <c r="G47" s="7"/>
      <c r="H47" s="8"/>
      <c r="I47" s="4">
        <f t="shared" si="0"/>
        <v>0</v>
      </c>
      <c r="J47" s="118"/>
      <c r="K47" s="110"/>
      <c r="L47" s="7"/>
      <c r="M47" s="110"/>
      <c r="N47" s="110"/>
      <c r="O47" s="117"/>
      <c r="P47" s="7"/>
      <c r="Q47" s="8"/>
      <c r="R47" s="4">
        <f t="shared" si="2"/>
        <v>0</v>
      </c>
    </row>
    <row r="48" spans="1:18" x14ac:dyDescent="0.3">
      <c r="A48" s="118"/>
      <c r="B48" s="110"/>
      <c r="C48" s="7"/>
      <c r="D48" s="110"/>
      <c r="E48" s="110"/>
      <c r="F48" s="117"/>
      <c r="G48" s="7"/>
      <c r="H48" s="8"/>
      <c r="I48" s="4">
        <f t="shared" si="0"/>
        <v>0</v>
      </c>
      <c r="J48" s="118"/>
      <c r="K48" s="110"/>
      <c r="L48" s="7"/>
      <c r="M48" s="110"/>
      <c r="N48" s="110"/>
      <c r="O48" s="117"/>
      <c r="P48" s="7"/>
      <c r="Q48" s="8"/>
      <c r="R48" s="4">
        <f t="shared" si="2"/>
        <v>0</v>
      </c>
    </row>
    <row r="49" spans="1:18" ht="15" thickBot="1" x14ac:dyDescent="0.35">
      <c r="A49" s="75"/>
      <c r="B49" s="76"/>
      <c r="C49" s="10"/>
      <c r="D49" s="110"/>
      <c r="E49" s="110"/>
      <c r="F49" s="117"/>
      <c r="G49" s="10"/>
      <c r="H49" s="11"/>
      <c r="I49" s="12">
        <f t="shared" si="0"/>
        <v>0</v>
      </c>
      <c r="J49" s="118"/>
      <c r="K49" s="110"/>
      <c r="L49" s="10"/>
      <c r="M49" s="110"/>
      <c r="N49" s="110"/>
      <c r="O49" s="117"/>
      <c r="P49" s="7"/>
      <c r="Q49" s="8"/>
      <c r="R49" s="4">
        <f t="shared" si="2"/>
        <v>0</v>
      </c>
    </row>
    <row r="50" spans="1:18" ht="15" thickBot="1" x14ac:dyDescent="0.35">
      <c r="A50" s="121"/>
      <c r="B50" s="122"/>
      <c r="C50" s="16"/>
      <c r="D50" s="123"/>
      <c r="E50" s="123"/>
      <c r="F50" s="122"/>
      <c r="G50" s="124" t="s">
        <v>38</v>
      </c>
      <c r="H50" s="122"/>
      <c r="I50" s="13">
        <f>SUM(I12:I49)</f>
        <v>0.87777777777777743</v>
      </c>
      <c r="J50" s="121"/>
      <c r="K50" s="122"/>
      <c r="L50" s="16"/>
      <c r="M50" s="123"/>
      <c r="N50" s="123"/>
      <c r="O50" s="122"/>
      <c r="P50" s="124" t="s">
        <v>38</v>
      </c>
      <c r="Q50" s="122"/>
      <c r="R50" s="13">
        <f>SUM(R12:R49)</f>
        <v>0.68888888888888866</v>
      </c>
    </row>
    <row r="51" spans="1:18" ht="15" thickTop="1" x14ac:dyDescent="0.3"/>
  </sheetData>
  <mergeCells count="189">
    <mergeCell ref="D47:F47"/>
    <mergeCell ref="D48:F48"/>
    <mergeCell ref="D49:F49"/>
    <mergeCell ref="D50:F50"/>
    <mergeCell ref="L7:L11"/>
    <mergeCell ref="M7:O11"/>
    <mergeCell ref="M12:O12"/>
    <mergeCell ref="M13:O13"/>
    <mergeCell ref="M14:O14"/>
    <mergeCell ref="M15:O15"/>
    <mergeCell ref="M16:O16"/>
    <mergeCell ref="M17:O17"/>
    <mergeCell ref="M18:O18"/>
    <mergeCell ref="M19:O19"/>
    <mergeCell ref="M20:O20"/>
    <mergeCell ref="M21:O21"/>
    <mergeCell ref="M22:O22"/>
    <mergeCell ref="M23:O23"/>
    <mergeCell ref="M24:O24"/>
    <mergeCell ref="M25:O25"/>
    <mergeCell ref="M26:O26"/>
    <mergeCell ref="D15:F15"/>
    <mergeCell ref="D16:F16"/>
    <mergeCell ref="D17:F17"/>
    <mergeCell ref="A1:R2"/>
    <mergeCell ref="S1:W2"/>
    <mergeCell ref="S3:W11"/>
    <mergeCell ref="A6:I6"/>
    <mergeCell ref="A7:B11"/>
    <mergeCell ref="G7:I7"/>
    <mergeCell ref="G8:G11"/>
    <mergeCell ref="H8:H11"/>
    <mergeCell ref="I8:I11"/>
    <mergeCell ref="A3:B3"/>
    <mergeCell ref="C3:I3"/>
    <mergeCell ref="A4:B4"/>
    <mergeCell ref="C4:I4"/>
    <mergeCell ref="A5:B5"/>
    <mergeCell ref="C5:I5"/>
    <mergeCell ref="D7:F11"/>
    <mergeCell ref="C7:C11"/>
    <mergeCell ref="L3:R3"/>
    <mergeCell ref="J4:K4"/>
    <mergeCell ref="L4:R4"/>
    <mergeCell ref="J5:K5"/>
    <mergeCell ref="L5:R5"/>
    <mergeCell ref="J6:R6"/>
    <mergeCell ref="P7:R7"/>
    <mergeCell ref="A12:B12"/>
    <mergeCell ref="A13:B13"/>
    <mergeCell ref="A14:B14"/>
    <mergeCell ref="D12:F12"/>
    <mergeCell ref="D13:F13"/>
    <mergeCell ref="D14:F14"/>
    <mergeCell ref="A15:B15"/>
    <mergeCell ref="A16:B16"/>
    <mergeCell ref="A17:B17"/>
    <mergeCell ref="A21:B21"/>
    <mergeCell ref="A22:B22"/>
    <mergeCell ref="A23:B23"/>
    <mergeCell ref="D18:F18"/>
    <mergeCell ref="D19:F19"/>
    <mergeCell ref="D20:F20"/>
    <mergeCell ref="D21:F21"/>
    <mergeCell ref="D22:F22"/>
    <mergeCell ref="D23:F23"/>
    <mergeCell ref="A18:B18"/>
    <mergeCell ref="A19:B19"/>
    <mergeCell ref="A20:B20"/>
    <mergeCell ref="D24:F24"/>
    <mergeCell ref="D25:F25"/>
    <mergeCell ref="D26:F26"/>
    <mergeCell ref="D27:F27"/>
    <mergeCell ref="D28:F28"/>
    <mergeCell ref="D29:F29"/>
    <mergeCell ref="A33:B33"/>
    <mergeCell ref="A34:B34"/>
    <mergeCell ref="A35:B35"/>
    <mergeCell ref="A30:B30"/>
    <mergeCell ref="A31:B31"/>
    <mergeCell ref="A32:B32"/>
    <mergeCell ref="D30:F30"/>
    <mergeCell ref="D31:F31"/>
    <mergeCell ref="D32:F32"/>
    <mergeCell ref="D33:F33"/>
    <mergeCell ref="D34:F34"/>
    <mergeCell ref="D35:F35"/>
    <mergeCell ref="A27:B27"/>
    <mergeCell ref="A28:B28"/>
    <mergeCell ref="A29:B29"/>
    <mergeCell ref="A24:B24"/>
    <mergeCell ref="A25:B25"/>
    <mergeCell ref="A26:B26"/>
    <mergeCell ref="A39:B39"/>
    <mergeCell ref="A40:B40"/>
    <mergeCell ref="A41:B41"/>
    <mergeCell ref="A36:B36"/>
    <mergeCell ref="A37:B37"/>
    <mergeCell ref="A38:B38"/>
    <mergeCell ref="D36:F36"/>
    <mergeCell ref="D37:F37"/>
    <mergeCell ref="D38:F38"/>
    <mergeCell ref="D39:F39"/>
    <mergeCell ref="D40:F40"/>
    <mergeCell ref="D41:F41"/>
    <mergeCell ref="A46:B46"/>
    <mergeCell ref="A42:B42"/>
    <mergeCell ref="A43:B43"/>
    <mergeCell ref="A44:B44"/>
    <mergeCell ref="D42:F42"/>
    <mergeCell ref="D43:F43"/>
    <mergeCell ref="D44:F44"/>
    <mergeCell ref="D45:F45"/>
    <mergeCell ref="D46:F46"/>
    <mergeCell ref="A49:B49"/>
    <mergeCell ref="A50:B50"/>
    <mergeCell ref="G50:H50"/>
    <mergeCell ref="J3:K3"/>
    <mergeCell ref="J7:K11"/>
    <mergeCell ref="J13:K13"/>
    <mergeCell ref="J18:K18"/>
    <mergeCell ref="J22:K22"/>
    <mergeCell ref="A47:B47"/>
    <mergeCell ref="A48:B48"/>
    <mergeCell ref="A45:B45"/>
    <mergeCell ref="J14:K14"/>
    <mergeCell ref="J15:K15"/>
    <mergeCell ref="J17:K17"/>
    <mergeCell ref="J29:K29"/>
    <mergeCell ref="J30:K30"/>
    <mergeCell ref="J31:K31"/>
    <mergeCell ref="J26:K26"/>
    <mergeCell ref="J27:K27"/>
    <mergeCell ref="J28:K28"/>
    <mergeCell ref="J41:K41"/>
    <mergeCell ref="J42:K42"/>
    <mergeCell ref="J43:K43"/>
    <mergeCell ref="J38:K38"/>
    <mergeCell ref="P8:P11"/>
    <mergeCell ref="Q8:Q11"/>
    <mergeCell ref="R8:R11"/>
    <mergeCell ref="J12:K12"/>
    <mergeCell ref="J16:K16"/>
    <mergeCell ref="J23:K23"/>
    <mergeCell ref="J24:K24"/>
    <mergeCell ref="J25:K25"/>
    <mergeCell ref="J19:K19"/>
    <mergeCell ref="J20:K20"/>
    <mergeCell ref="J21:K21"/>
    <mergeCell ref="M28:O28"/>
    <mergeCell ref="M29:O29"/>
    <mergeCell ref="M30:O30"/>
    <mergeCell ref="M31:O31"/>
    <mergeCell ref="M27:O27"/>
    <mergeCell ref="J35:K35"/>
    <mergeCell ref="J36:K36"/>
    <mergeCell ref="J37:K37"/>
    <mergeCell ref="J32:K32"/>
    <mergeCell ref="J33:K33"/>
    <mergeCell ref="J34:K34"/>
    <mergeCell ref="M32:O32"/>
    <mergeCell ref="M33:O33"/>
    <mergeCell ref="M34:O34"/>
    <mergeCell ref="M35:O35"/>
    <mergeCell ref="M36:O36"/>
    <mergeCell ref="M37:O37"/>
    <mergeCell ref="J39:K39"/>
    <mergeCell ref="J40:K40"/>
    <mergeCell ref="M38:O38"/>
    <mergeCell ref="M39:O39"/>
    <mergeCell ref="M40:O40"/>
    <mergeCell ref="M41:O41"/>
    <mergeCell ref="M42:O42"/>
    <mergeCell ref="M43:O43"/>
    <mergeCell ref="P50:Q50"/>
    <mergeCell ref="J48:K48"/>
    <mergeCell ref="J49:K49"/>
    <mergeCell ref="M48:O48"/>
    <mergeCell ref="M49:O49"/>
    <mergeCell ref="M50:O50"/>
    <mergeCell ref="J47:K47"/>
    <mergeCell ref="J44:K44"/>
    <mergeCell ref="J45:K45"/>
    <mergeCell ref="J46:K46"/>
    <mergeCell ref="M44:O44"/>
    <mergeCell ref="M45:O45"/>
    <mergeCell ref="M46:O46"/>
    <mergeCell ref="M47:O47"/>
    <mergeCell ref="J50:K50"/>
  </mergeCells>
  <pageMargins left="0.7" right="0.7" top="0.75" bottom="0.75" header="0.3" footer="0.3"/>
  <pageSetup paperSize="9" orientation="portrait" r:id="rId1"/>
  <headerFooter>
    <oddHeader>&amp;C&amp;"-,Bold"&amp;24Projektstundennachweis</oddHeader>
  </headerFooter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944019-13C8-4418-802D-614E95777728}">
  <sheetPr codeName="Sheet4"/>
  <dimension ref="A1:W51"/>
  <sheetViews>
    <sheetView zoomScaleNormal="100" workbookViewId="0">
      <selection activeCell="R50" sqref="R50"/>
    </sheetView>
  </sheetViews>
  <sheetFormatPr defaultColWidth="8.77734375" defaultRowHeight="14.4" x14ac:dyDescent="0.3"/>
  <cols>
    <col min="4" max="6" width="9.109375" style="15"/>
    <col min="16" max="16" width="13" bestFit="1" customWidth="1"/>
  </cols>
  <sheetData>
    <row r="1" spans="1:23" x14ac:dyDescent="0.3">
      <c r="A1" s="78" t="s">
        <v>48</v>
      </c>
      <c r="B1" s="79"/>
      <c r="C1" s="79"/>
      <c r="D1" s="79"/>
      <c r="E1" s="79"/>
      <c r="F1" s="79"/>
      <c r="G1" s="79"/>
      <c r="H1" s="79"/>
      <c r="I1" s="79"/>
      <c r="J1" s="79"/>
      <c r="K1" s="79"/>
      <c r="L1" s="79"/>
      <c r="M1" s="79"/>
      <c r="N1" s="79"/>
      <c r="O1" s="79"/>
      <c r="P1" s="79"/>
      <c r="Q1" s="79"/>
      <c r="R1" s="79"/>
      <c r="S1" s="78" t="s">
        <v>46</v>
      </c>
      <c r="T1" s="79"/>
      <c r="U1" s="79"/>
      <c r="V1" s="79"/>
      <c r="W1" s="79"/>
    </row>
    <row r="2" spans="1:23" ht="15" thickBot="1" x14ac:dyDescent="0.35">
      <c r="A2" s="80"/>
      <c r="B2" s="80"/>
      <c r="C2" s="80"/>
      <c r="D2" s="80"/>
      <c r="E2" s="80"/>
      <c r="F2" s="80"/>
      <c r="G2" s="80"/>
      <c r="H2" s="80"/>
      <c r="I2" s="80"/>
      <c r="J2" s="80"/>
      <c r="K2" s="80"/>
      <c r="L2" s="80"/>
      <c r="M2" s="80"/>
      <c r="N2" s="80"/>
      <c r="O2" s="80"/>
      <c r="P2" s="80"/>
      <c r="Q2" s="80"/>
      <c r="R2" s="80"/>
      <c r="S2" s="79"/>
      <c r="T2" s="79"/>
      <c r="U2" s="79"/>
      <c r="V2" s="79"/>
      <c r="W2" s="79"/>
    </row>
    <row r="3" spans="1:23" ht="15" thickTop="1" x14ac:dyDescent="0.3">
      <c r="A3" s="81" t="s">
        <v>6</v>
      </c>
      <c r="B3" s="82"/>
      <c r="C3" s="83" t="s">
        <v>49</v>
      </c>
      <c r="D3" s="84"/>
      <c r="E3" s="84"/>
      <c r="F3" s="84"/>
      <c r="G3" s="84"/>
      <c r="H3" s="84"/>
      <c r="I3" s="85"/>
      <c r="J3" s="81" t="s">
        <v>6</v>
      </c>
      <c r="K3" s="82"/>
      <c r="L3" s="83" t="s">
        <v>49</v>
      </c>
      <c r="M3" s="84"/>
      <c r="N3" s="84"/>
      <c r="O3" s="84"/>
      <c r="P3" s="84"/>
      <c r="Q3" s="84"/>
      <c r="R3" s="85"/>
      <c r="S3" s="86"/>
      <c r="T3" s="79"/>
      <c r="U3" s="79"/>
      <c r="V3" s="79"/>
      <c r="W3" s="79"/>
    </row>
    <row r="4" spans="1:23" x14ac:dyDescent="0.3">
      <c r="A4" s="87" t="s">
        <v>7</v>
      </c>
      <c r="B4" s="88"/>
      <c r="C4" s="69" t="s">
        <v>44</v>
      </c>
      <c r="D4" s="69"/>
      <c r="E4" s="69"/>
      <c r="F4" s="69"/>
      <c r="G4" s="69"/>
      <c r="H4" s="69"/>
      <c r="I4" s="70"/>
      <c r="J4" s="87" t="s">
        <v>7</v>
      </c>
      <c r="K4" s="88"/>
      <c r="L4" s="69" t="s">
        <v>44</v>
      </c>
      <c r="M4" s="69"/>
      <c r="N4" s="69"/>
      <c r="O4" s="69"/>
      <c r="P4" s="69"/>
      <c r="Q4" s="69"/>
      <c r="R4" s="70"/>
      <c r="S4" s="86"/>
      <c r="T4" s="79"/>
      <c r="U4" s="79"/>
      <c r="V4" s="79"/>
      <c r="W4" s="79"/>
    </row>
    <row r="5" spans="1:23" x14ac:dyDescent="0.3">
      <c r="A5" s="71" t="s">
        <v>2</v>
      </c>
      <c r="B5" s="72"/>
      <c r="C5" s="73" t="s">
        <v>3</v>
      </c>
      <c r="D5" s="73"/>
      <c r="E5" s="73"/>
      <c r="F5" s="73"/>
      <c r="G5" s="73"/>
      <c r="H5" s="73"/>
      <c r="I5" s="74"/>
      <c r="J5" s="71" t="s">
        <v>2</v>
      </c>
      <c r="K5" s="72"/>
      <c r="L5" s="73" t="s">
        <v>5</v>
      </c>
      <c r="M5" s="73"/>
      <c r="N5" s="73"/>
      <c r="O5" s="73"/>
      <c r="P5" s="73"/>
      <c r="Q5" s="73"/>
      <c r="R5" s="74"/>
      <c r="S5" s="86"/>
      <c r="T5" s="79"/>
      <c r="U5" s="79"/>
      <c r="V5" s="79"/>
      <c r="W5" s="79"/>
    </row>
    <row r="6" spans="1:23" ht="15" thickBot="1" x14ac:dyDescent="0.35">
      <c r="A6" s="75"/>
      <c r="B6" s="76"/>
      <c r="C6" s="76"/>
      <c r="D6" s="76"/>
      <c r="E6" s="76"/>
      <c r="F6" s="76"/>
      <c r="G6" s="76"/>
      <c r="H6" s="76"/>
      <c r="I6" s="77"/>
      <c r="J6" s="75"/>
      <c r="K6" s="76"/>
      <c r="L6" s="76"/>
      <c r="M6" s="76"/>
      <c r="N6" s="76"/>
      <c r="O6" s="76"/>
      <c r="P6" s="76"/>
      <c r="Q6" s="76"/>
      <c r="R6" s="77"/>
      <c r="S6" s="86"/>
      <c r="T6" s="79"/>
      <c r="U6" s="79"/>
      <c r="V6" s="79"/>
      <c r="W6" s="79"/>
    </row>
    <row r="7" spans="1:23" ht="15" thickBot="1" x14ac:dyDescent="0.35">
      <c r="A7" s="100" t="s">
        <v>8</v>
      </c>
      <c r="B7" s="101"/>
      <c r="C7" s="106" t="s">
        <v>43</v>
      </c>
      <c r="D7" s="89" t="s">
        <v>9</v>
      </c>
      <c r="E7" s="89"/>
      <c r="F7" s="90"/>
      <c r="G7" s="32" t="s">
        <v>10</v>
      </c>
      <c r="H7" s="33"/>
      <c r="I7" s="95"/>
      <c r="J7" s="100" t="s">
        <v>8</v>
      </c>
      <c r="K7" s="101"/>
      <c r="L7" s="106" t="s">
        <v>43</v>
      </c>
      <c r="M7" s="89" t="s">
        <v>9</v>
      </c>
      <c r="N7" s="89"/>
      <c r="O7" s="90"/>
      <c r="P7" s="32" t="s">
        <v>10</v>
      </c>
      <c r="Q7" s="33"/>
      <c r="R7" s="95"/>
      <c r="S7" s="86"/>
      <c r="T7" s="79"/>
      <c r="U7" s="79"/>
      <c r="V7" s="79"/>
      <c r="W7" s="79"/>
    </row>
    <row r="8" spans="1:23" ht="15" thickTop="1" x14ac:dyDescent="0.3">
      <c r="A8" s="102"/>
      <c r="B8" s="103"/>
      <c r="C8" s="107"/>
      <c r="D8" s="91"/>
      <c r="E8" s="91"/>
      <c r="F8" s="92"/>
      <c r="G8" s="96" t="s">
        <v>11</v>
      </c>
      <c r="H8" s="96" t="s">
        <v>12</v>
      </c>
      <c r="I8" s="98" t="s">
        <v>13</v>
      </c>
      <c r="J8" s="102"/>
      <c r="K8" s="103"/>
      <c r="L8" s="107"/>
      <c r="M8" s="91"/>
      <c r="N8" s="91"/>
      <c r="O8" s="92"/>
      <c r="P8" s="96" t="s">
        <v>11</v>
      </c>
      <c r="Q8" s="96" t="s">
        <v>12</v>
      </c>
      <c r="R8" s="98" t="s">
        <v>13</v>
      </c>
      <c r="S8" s="86"/>
      <c r="T8" s="79"/>
      <c r="U8" s="79"/>
      <c r="V8" s="79"/>
      <c r="W8" s="79"/>
    </row>
    <row r="9" spans="1:23" x14ac:dyDescent="0.3">
      <c r="A9" s="102"/>
      <c r="B9" s="103"/>
      <c r="C9" s="107"/>
      <c r="D9" s="91"/>
      <c r="E9" s="91"/>
      <c r="F9" s="92"/>
      <c r="G9" s="96"/>
      <c r="H9" s="96"/>
      <c r="I9" s="98"/>
      <c r="J9" s="102"/>
      <c r="K9" s="103"/>
      <c r="L9" s="107"/>
      <c r="M9" s="91"/>
      <c r="N9" s="91"/>
      <c r="O9" s="92"/>
      <c r="P9" s="96"/>
      <c r="Q9" s="96"/>
      <c r="R9" s="98"/>
      <c r="S9" s="86"/>
      <c r="T9" s="79"/>
      <c r="U9" s="79"/>
      <c r="V9" s="79"/>
      <c r="W9" s="79"/>
    </row>
    <row r="10" spans="1:23" x14ac:dyDescent="0.3">
      <c r="A10" s="102"/>
      <c r="B10" s="103"/>
      <c r="C10" s="107"/>
      <c r="D10" s="91"/>
      <c r="E10" s="91"/>
      <c r="F10" s="92"/>
      <c r="G10" s="96"/>
      <c r="H10" s="96"/>
      <c r="I10" s="98"/>
      <c r="J10" s="102"/>
      <c r="K10" s="103"/>
      <c r="L10" s="107"/>
      <c r="M10" s="91"/>
      <c r="N10" s="91"/>
      <c r="O10" s="92"/>
      <c r="P10" s="96"/>
      <c r="Q10" s="96"/>
      <c r="R10" s="98"/>
      <c r="S10" s="86"/>
      <c r="T10" s="79"/>
      <c r="U10" s="79"/>
      <c r="V10" s="79"/>
      <c r="W10" s="79"/>
    </row>
    <row r="11" spans="1:23" ht="15" thickBot="1" x14ac:dyDescent="0.35">
      <c r="A11" s="104"/>
      <c r="B11" s="105"/>
      <c r="C11" s="108"/>
      <c r="D11" s="93"/>
      <c r="E11" s="93"/>
      <c r="F11" s="94"/>
      <c r="G11" s="97"/>
      <c r="H11" s="97"/>
      <c r="I11" s="99"/>
      <c r="J11" s="104"/>
      <c r="K11" s="105"/>
      <c r="L11" s="108"/>
      <c r="M11" s="93"/>
      <c r="N11" s="93"/>
      <c r="O11" s="94"/>
      <c r="P11" s="97"/>
      <c r="Q11" s="97"/>
      <c r="R11" s="99"/>
      <c r="S11" s="86"/>
      <c r="T11" s="79"/>
      <c r="U11" s="79"/>
      <c r="V11" s="79"/>
      <c r="W11" s="79"/>
    </row>
    <row r="12" spans="1:23" x14ac:dyDescent="0.3">
      <c r="A12" s="112" t="s">
        <v>50</v>
      </c>
      <c r="B12" s="113"/>
      <c r="C12" s="14"/>
      <c r="D12" s="114" t="s">
        <v>51</v>
      </c>
      <c r="E12" s="114"/>
      <c r="F12" s="115"/>
      <c r="G12" s="2">
        <v>0.33333333333333331</v>
      </c>
      <c r="H12" s="3">
        <v>0.5</v>
      </c>
      <c r="I12" s="4">
        <f>H12-G12</f>
        <v>0.16666666666666669</v>
      </c>
      <c r="J12" s="109">
        <v>44881</v>
      </c>
      <c r="K12" s="110"/>
      <c r="L12" s="14"/>
      <c r="M12" s="125" t="s">
        <v>64</v>
      </c>
      <c r="N12" s="125"/>
      <c r="O12" s="126"/>
      <c r="P12" s="2">
        <v>0.33333333333333331</v>
      </c>
      <c r="Q12" s="3">
        <v>0.4861111111111111</v>
      </c>
      <c r="R12" s="4">
        <f>Q12-P12</f>
        <v>0.15277777777777779</v>
      </c>
      <c r="S12" s="21"/>
    </row>
    <row r="13" spans="1:23" x14ac:dyDescent="0.3">
      <c r="A13" s="109">
        <v>44881</v>
      </c>
      <c r="B13" s="110"/>
      <c r="C13" s="7"/>
      <c r="D13" s="69" t="s">
        <v>52</v>
      </c>
      <c r="E13" s="69"/>
      <c r="F13" s="111"/>
      <c r="G13" s="5">
        <v>0.6166666666666667</v>
      </c>
      <c r="H13" s="6">
        <v>0.71597222222222223</v>
      </c>
      <c r="I13" s="20">
        <f>H13-G13</f>
        <v>9.9305555555555536E-2</v>
      </c>
      <c r="J13" s="109">
        <v>44891</v>
      </c>
      <c r="K13" s="117"/>
      <c r="M13" s="125" t="s">
        <v>66</v>
      </c>
      <c r="N13" s="125"/>
      <c r="O13" s="126"/>
      <c r="P13" s="18">
        <v>0.70833333333333337</v>
      </c>
      <c r="Q13" s="19">
        <v>0.77083333333333337</v>
      </c>
      <c r="R13" s="4">
        <f>Q13-P13</f>
        <v>6.25E-2</v>
      </c>
    </row>
    <row r="14" spans="1:23" x14ac:dyDescent="0.3">
      <c r="A14" s="109" t="s">
        <v>53</v>
      </c>
      <c r="B14" s="110"/>
      <c r="C14" s="7"/>
      <c r="D14" s="69" t="s">
        <v>54</v>
      </c>
      <c r="E14" s="69"/>
      <c r="F14" s="111"/>
      <c r="G14" s="5">
        <v>0.47569444444444442</v>
      </c>
      <c r="H14" s="6">
        <v>0.53611111111111109</v>
      </c>
      <c r="I14" s="20">
        <f t="shared" ref="I14:I49" si="0">H14-G14</f>
        <v>6.0416666666666674E-2</v>
      </c>
      <c r="J14" s="109">
        <v>44892</v>
      </c>
      <c r="K14" s="117"/>
      <c r="M14" s="125" t="s">
        <v>65</v>
      </c>
      <c r="N14" s="125"/>
      <c r="O14" s="126"/>
      <c r="P14" s="5">
        <v>0.75</v>
      </c>
      <c r="Q14" s="6">
        <v>0.8125</v>
      </c>
      <c r="R14" s="4">
        <f>Q14-P14</f>
        <v>6.25E-2</v>
      </c>
    </row>
    <row r="15" spans="1:23" x14ac:dyDescent="0.3">
      <c r="A15" s="109" t="s">
        <v>53</v>
      </c>
      <c r="B15" s="110"/>
      <c r="C15" s="7"/>
      <c r="D15" s="69" t="s">
        <v>55</v>
      </c>
      <c r="E15" s="69"/>
      <c r="F15" s="111"/>
      <c r="G15" s="5">
        <v>0.53611111111111109</v>
      </c>
      <c r="H15" s="6">
        <v>0.56597222222222221</v>
      </c>
      <c r="I15" s="4">
        <f t="shared" si="0"/>
        <v>2.9861111111111116E-2</v>
      </c>
      <c r="J15" s="109">
        <v>44893</v>
      </c>
      <c r="K15" s="117"/>
      <c r="L15" s="22"/>
      <c r="M15" s="125" t="s">
        <v>63</v>
      </c>
      <c r="N15" s="125"/>
      <c r="O15" s="126"/>
      <c r="P15" s="5">
        <v>0.45833333333333331</v>
      </c>
      <c r="Q15" s="6">
        <v>0.52777777777777779</v>
      </c>
      <c r="R15" s="4">
        <f t="shared" ref="R15:R41" si="1">Q15-P15</f>
        <v>6.9444444444444475E-2</v>
      </c>
    </row>
    <row r="16" spans="1:23" x14ac:dyDescent="0.3">
      <c r="A16" s="109" t="s">
        <v>53</v>
      </c>
      <c r="B16" s="110"/>
      <c r="C16" s="7"/>
      <c r="D16" s="69" t="s">
        <v>56</v>
      </c>
      <c r="E16" s="69"/>
      <c r="F16" s="111"/>
      <c r="G16" s="5">
        <v>0.56944444444444442</v>
      </c>
      <c r="H16" s="6">
        <v>0.60902777777777783</v>
      </c>
      <c r="I16" s="4">
        <f t="shared" si="0"/>
        <v>3.9583333333333415E-2</v>
      </c>
      <c r="J16" s="109">
        <v>44893</v>
      </c>
      <c r="K16" s="117"/>
      <c r="L16" s="22"/>
      <c r="M16" s="125" t="s">
        <v>69</v>
      </c>
      <c r="N16" s="125"/>
      <c r="O16" s="126"/>
      <c r="P16" s="5">
        <v>0.70833333333333337</v>
      </c>
      <c r="Q16" s="6">
        <v>0.79166666666666663</v>
      </c>
      <c r="R16" s="4">
        <f t="shared" si="1"/>
        <v>8.3333333333333259E-2</v>
      </c>
    </row>
    <row r="17" spans="1:18" x14ac:dyDescent="0.3">
      <c r="A17" s="109" t="s">
        <v>57</v>
      </c>
      <c r="B17" s="110"/>
      <c r="C17" s="7"/>
      <c r="D17" s="69" t="s">
        <v>58</v>
      </c>
      <c r="E17" s="69"/>
      <c r="F17" s="111"/>
      <c r="G17" s="5">
        <v>0.5</v>
      </c>
      <c r="H17" s="6">
        <v>0.53819444444444442</v>
      </c>
      <c r="I17" s="4">
        <f t="shared" si="0"/>
        <v>3.819444444444442E-2</v>
      </c>
      <c r="J17" s="109"/>
      <c r="K17" s="110"/>
      <c r="L17" s="7"/>
      <c r="M17" s="69"/>
      <c r="N17" s="69"/>
      <c r="O17" s="111"/>
      <c r="P17" s="5"/>
      <c r="Q17" s="6"/>
      <c r="R17" s="4">
        <f>Q17-P17</f>
        <v>0</v>
      </c>
    </row>
    <row r="18" spans="1:18" x14ac:dyDescent="0.3">
      <c r="A18" s="109" t="s">
        <v>59</v>
      </c>
      <c r="B18" s="110"/>
      <c r="C18" s="7"/>
      <c r="D18" s="69" t="s">
        <v>60</v>
      </c>
      <c r="E18" s="69"/>
      <c r="F18" s="111"/>
      <c r="G18" s="5">
        <v>0.58333333333333337</v>
      </c>
      <c r="H18" s="6">
        <v>0.66875000000000007</v>
      </c>
      <c r="I18" s="4">
        <f t="shared" si="0"/>
        <v>8.5416666666666696E-2</v>
      </c>
      <c r="J18" s="109"/>
      <c r="K18" s="110"/>
      <c r="L18" s="7"/>
      <c r="M18" s="69"/>
      <c r="N18" s="69"/>
      <c r="O18" s="111"/>
      <c r="P18" s="5"/>
      <c r="Q18" s="6"/>
      <c r="R18" s="4">
        <f t="shared" si="1"/>
        <v>0</v>
      </c>
    </row>
    <row r="19" spans="1:18" x14ac:dyDescent="0.3">
      <c r="A19" s="109" t="s">
        <v>61</v>
      </c>
      <c r="B19" s="110"/>
      <c r="C19" s="7"/>
      <c r="D19" s="69" t="s">
        <v>62</v>
      </c>
      <c r="E19" s="69"/>
      <c r="F19" s="111"/>
      <c r="G19" s="5">
        <v>0.41666666666666669</v>
      </c>
      <c r="H19" s="6">
        <v>0.55486111111111114</v>
      </c>
      <c r="I19" s="4">
        <f t="shared" si="0"/>
        <v>0.13819444444444445</v>
      </c>
      <c r="J19" s="109"/>
      <c r="K19" s="110"/>
      <c r="L19" s="7"/>
      <c r="M19" s="69"/>
      <c r="N19" s="69"/>
      <c r="O19" s="111"/>
      <c r="P19" s="5"/>
      <c r="Q19" s="6"/>
      <c r="R19" s="4">
        <f t="shared" si="1"/>
        <v>0</v>
      </c>
    </row>
    <row r="20" spans="1:18" x14ac:dyDescent="0.3">
      <c r="A20" s="109" t="s">
        <v>67</v>
      </c>
      <c r="B20" s="110"/>
      <c r="C20" s="7"/>
      <c r="D20" s="69" t="s">
        <v>68</v>
      </c>
      <c r="E20" s="69"/>
      <c r="F20" s="111"/>
      <c r="G20" s="5">
        <v>0.33333333333333331</v>
      </c>
      <c r="H20" s="6">
        <v>0.4375</v>
      </c>
      <c r="I20" s="4">
        <f t="shared" si="0"/>
        <v>0.10416666666666669</v>
      </c>
      <c r="J20" s="109"/>
      <c r="K20" s="110"/>
      <c r="L20" s="7"/>
      <c r="M20" s="69"/>
      <c r="N20" s="69"/>
      <c r="O20" s="111"/>
      <c r="P20" s="5"/>
      <c r="Q20" s="6"/>
      <c r="R20" s="4">
        <f>Q20-P20</f>
        <v>0</v>
      </c>
    </row>
    <row r="21" spans="1:18" x14ac:dyDescent="0.3">
      <c r="A21" s="109" t="s">
        <v>67</v>
      </c>
      <c r="B21" s="110"/>
      <c r="C21" s="7"/>
      <c r="D21" s="69" t="s">
        <v>70</v>
      </c>
      <c r="E21" s="69"/>
      <c r="F21" s="111"/>
      <c r="G21" s="5">
        <v>0.44791666666666669</v>
      </c>
      <c r="H21" s="6">
        <v>0.48958333333333331</v>
      </c>
      <c r="I21" s="4">
        <f t="shared" si="0"/>
        <v>4.166666666666663E-2</v>
      </c>
      <c r="J21" s="109"/>
      <c r="K21" s="110"/>
      <c r="L21" s="7"/>
      <c r="M21" s="69"/>
      <c r="N21" s="69"/>
      <c r="O21" s="111"/>
      <c r="P21" s="5"/>
      <c r="Q21" s="6"/>
      <c r="R21" s="4">
        <f t="shared" si="1"/>
        <v>0</v>
      </c>
    </row>
    <row r="22" spans="1:18" x14ac:dyDescent="0.3">
      <c r="A22" s="109"/>
      <c r="B22" s="110"/>
      <c r="C22" s="7"/>
      <c r="D22" s="110"/>
      <c r="E22" s="110"/>
      <c r="F22" s="117"/>
      <c r="G22" s="5"/>
      <c r="H22" s="6"/>
      <c r="I22" s="4">
        <f t="shared" si="0"/>
        <v>0</v>
      </c>
      <c r="J22" s="109"/>
      <c r="K22" s="110"/>
      <c r="L22" s="7"/>
      <c r="M22" s="110"/>
      <c r="N22" s="110"/>
      <c r="O22" s="117"/>
      <c r="P22" s="5"/>
      <c r="Q22" s="6"/>
      <c r="R22" s="4">
        <f t="shared" si="1"/>
        <v>0</v>
      </c>
    </row>
    <row r="23" spans="1:18" x14ac:dyDescent="0.3">
      <c r="A23" s="109"/>
      <c r="B23" s="110"/>
      <c r="C23" s="7"/>
      <c r="D23" s="110"/>
      <c r="E23" s="110"/>
      <c r="F23" s="117"/>
      <c r="G23" s="5"/>
      <c r="H23" s="6"/>
      <c r="I23" s="4">
        <f t="shared" si="0"/>
        <v>0</v>
      </c>
      <c r="J23" s="109"/>
      <c r="K23" s="110"/>
      <c r="L23" s="7"/>
      <c r="M23" s="110"/>
      <c r="N23" s="110"/>
      <c r="O23" s="117"/>
      <c r="P23" s="5"/>
      <c r="Q23" s="6"/>
      <c r="R23" s="4">
        <f t="shared" si="1"/>
        <v>0</v>
      </c>
    </row>
    <row r="24" spans="1:18" x14ac:dyDescent="0.3">
      <c r="A24" s="109"/>
      <c r="B24" s="110"/>
      <c r="C24" s="7"/>
      <c r="D24" s="110"/>
      <c r="E24" s="110"/>
      <c r="F24" s="117"/>
      <c r="G24" s="5"/>
      <c r="H24" s="6"/>
      <c r="I24" s="4">
        <f t="shared" si="0"/>
        <v>0</v>
      </c>
      <c r="J24" s="109"/>
      <c r="K24" s="110"/>
      <c r="L24" s="7"/>
      <c r="M24" s="110"/>
      <c r="N24" s="110"/>
      <c r="O24" s="117"/>
      <c r="P24" s="5"/>
      <c r="Q24" s="6"/>
      <c r="R24" s="4">
        <f t="shared" si="1"/>
        <v>0</v>
      </c>
    </row>
    <row r="25" spans="1:18" x14ac:dyDescent="0.3">
      <c r="A25" s="109"/>
      <c r="B25" s="110"/>
      <c r="C25" s="7"/>
      <c r="D25" s="110"/>
      <c r="E25" s="110"/>
      <c r="F25" s="117"/>
      <c r="G25" s="5"/>
      <c r="H25" s="6"/>
      <c r="I25" s="4">
        <f t="shared" si="0"/>
        <v>0</v>
      </c>
      <c r="J25" s="109"/>
      <c r="K25" s="110"/>
      <c r="L25" s="7"/>
      <c r="M25" s="110"/>
      <c r="N25" s="110"/>
      <c r="O25" s="117"/>
      <c r="P25" s="5"/>
      <c r="Q25" s="6"/>
      <c r="R25" s="4">
        <f t="shared" si="1"/>
        <v>0</v>
      </c>
    </row>
    <row r="26" spans="1:18" x14ac:dyDescent="0.3">
      <c r="A26" s="118"/>
      <c r="B26" s="110"/>
      <c r="C26" s="7"/>
      <c r="D26" s="110"/>
      <c r="E26" s="110"/>
      <c r="F26" s="117"/>
      <c r="G26" s="7"/>
      <c r="H26" s="8"/>
      <c r="I26" s="4">
        <f t="shared" si="0"/>
        <v>0</v>
      </c>
      <c r="J26" s="109"/>
      <c r="K26" s="110"/>
      <c r="L26" s="7"/>
      <c r="M26" s="110"/>
      <c r="N26" s="110"/>
      <c r="O26" s="117"/>
      <c r="P26" s="5"/>
      <c r="Q26" s="6"/>
      <c r="R26" s="4">
        <f t="shared" si="1"/>
        <v>0</v>
      </c>
    </row>
    <row r="27" spans="1:18" x14ac:dyDescent="0.3">
      <c r="A27" s="118"/>
      <c r="B27" s="110"/>
      <c r="C27" s="7"/>
      <c r="D27" s="110"/>
      <c r="E27" s="110"/>
      <c r="F27" s="117"/>
      <c r="G27" s="7"/>
      <c r="H27" s="8"/>
      <c r="I27" s="4">
        <f t="shared" si="0"/>
        <v>0</v>
      </c>
      <c r="J27" s="109"/>
      <c r="K27" s="110"/>
      <c r="L27" s="7"/>
      <c r="M27" s="110"/>
      <c r="N27" s="110"/>
      <c r="O27" s="117"/>
      <c r="P27" s="5"/>
      <c r="Q27" s="6"/>
      <c r="R27" s="4">
        <f t="shared" si="1"/>
        <v>0</v>
      </c>
    </row>
    <row r="28" spans="1:18" x14ac:dyDescent="0.3">
      <c r="A28" s="118"/>
      <c r="B28" s="110"/>
      <c r="C28" s="7"/>
      <c r="D28" s="110"/>
      <c r="E28" s="110"/>
      <c r="F28" s="117"/>
      <c r="G28" s="7"/>
      <c r="H28" s="8"/>
      <c r="I28" s="4">
        <f t="shared" si="0"/>
        <v>0</v>
      </c>
      <c r="J28" s="118"/>
      <c r="K28" s="110"/>
      <c r="L28" s="7"/>
      <c r="M28" s="110"/>
      <c r="N28" s="110"/>
      <c r="O28" s="117"/>
      <c r="P28" s="7"/>
      <c r="Q28" s="8"/>
      <c r="R28" s="4">
        <f t="shared" si="1"/>
        <v>0</v>
      </c>
    </row>
    <row r="29" spans="1:18" x14ac:dyDescent="0.3">
      <c r="A29" s="118"/>
      <c r="B29" s="110"/>
      <c r="C29" s="7"/>
      <c r="D29" s="110"/>
      <c r="E29" s="110"/>
      <c r="F29" s="117"/>
      <c r="G29" s="7"/>
      <c r="H29" s="8"/>
      <c r="I29" s="4">
        <f t="shared" si="0"/>
        <v>0</v>
      </c>
      <c r="J29" s="118"/>
      <c r="K29" s="110"/>
      <c r="L29" s="7"/>
      <c r="M29" s="110"/>
      <c r="N29" s="110"/>
      <c r="O29" s="117"/>
      <c r="P29" s="7"/>
      <c r="Q29" s="8"/>
      <c r="R29" s="4">
        <f t="shared" si="1"/>
        <v>0</v>
      </c>
    </row>
    <row r="30" spans="1:18" x14ac:dyDescent="0.3">
      <c r="A30" s="118"/>
      <c r="B30" s="110"/>
      <c r="C30" s="7"/>
      <c r="D30" s="110"/>
      <c r="E30" s="110"/>
      <c r="F30" s="117"/>
      <c r="G30" s="7"/>
      <c r="H30" s="8"/>
      <c r="I30" s="4">
        <f t="shared" si="0"/>
        <v>0</v>
      </c>
      <c r="J30" s="118"/>
      <c r="K30" s="110"/>
      <c r="L30" s="7"/>
      <c r="M30" s="110"/>
      <c r="N30" s="110"/>
      <c r="O30" s="117"/>
      <c r="P30" s="7"/>
      <c r="Q30" s="8"/>
      <c r="R30" s="4">
        <f t="shared" si="1"/>
        <v>0</v>
      </c>
    </row>
    <row r="31" spans="1:18" x14ac:dyDescent="0.3">
      <c r="A31" s="118"/>
      <c r="B31" s="110"/>
      <c r="C31" s="7"/>
      <c r="D31" s="110"/>
      <c r="E31" s="110"/>
      <c r="F31" s="117"/>
      <c r="G31" s="7"/>
      <c r="H31" s="8"/>
      <c r="I31" s="4">
        <f t="shared" si="0"/>
        <v>0</v>
      </c>
      <c r="J31" s="118"/>
      <c r="K31" s="110"/>
      <c r="L31" s="7"/>
      <c r="M31" s="110"/>
      <c r="N31" s="110"/>
      <c r="O31" s="117"/>
      <c r="P31" s="7"/>
      <c r="Q31" s="8"/>
      <c r="R31" s="4">
        <f t="shared" si="1"/>
        <v>0</v>
      </c>
    </row>
    <row r="32" spans="1:18" x14ac:dyDescent="0.3">
      <c r="A32" s="118"/>
      <c r="B32" s="110"/>
      <c r="C32" s="7"/>
      <c r="D32" s="110"/>
      <c r="E32" s="110"/>
      <c r="F32" s="117"/>
      <c r="G32" s="7"/>
      <c r="H32" s="8"/>
      <c r="I32" s="4">
        <f t="shared" si="0"/>
        <v>0</v>
      </c>
      <c r="J32" s="118"/>
      <c r="K32" s="110"/>
      <c r="L32" s="7"/>
      <c r="M32" s="110"/>
      <c r="N32" s="110"/>
      <c r="O32" s="117"/>
      <c r="P32" s="7"/>
      <c r="Q32" s="8"/>
      <c r="R32" s="4">
        <f t="shared" si="1"/>
        <v>0</v>
      </c>
    </row>
    <row r="33" spans="1:18" x14ac:dyDescent="0.3">
      <c r="A33" s="118"/>
      <c r="B33" s="110"/>
      <c r="C33" s="7"/>
      <c r="D33" s="110"/>
      <c r="E33" s="110"/>
      <c r="F33" s="117"/>
      <c r="G33" s="7"/>
      <c r="H33" s="8"/>
      <c r="I33" s="4">
        <f t="shared" si="0"/>
        <v>0</v>
      </c>
      <c r="J33" s="118"/>
      <c r="K33" s="110"/>
      <c r="L33" s="7"/>
      <c r="M33" s="110"/>
      <c r="N33" s="110"/>
      <c r="O33" s="117"/>
      <c r="P33" s="7"/>
      <c r="Q33" s="8"/>
      <c r="R33" s="4">
        <f t="shared" si="1"/>
        <v>0</v>
      </c>
    </row>
    <row r="34" spans="1:18" x14ac:dyDescent="0.3">
      <c r="A34" s="118"/>
      <c r="B34" s="110"/>
      <c r="C34" s="7"/>
      <c r="D34" s="110"/>
      <c r="E34" s="110"/>
      <c r="F34" s="117"/>
      <c r="G34" s="7"/>
      <c r="H34" s="8"/>
      <c r="I34" s="4">
        <f t="shared" si="0"/>
        <v>0</v>
      </c>
      <c r="J34" s="118"/>
      <c r="K34" s="110"/>
      <c r="L34" s="7"/>
      <c r="M34" s="110"/>
      <c r="N34" s="110"/>
      <c r="O34" s="117"/>
      <c r="P34" s="7"/>
      <c r="Q34" s="8"/>
      <c r="R34" s="4">
        <f t="shared" si="1"/>
        <v>0</v>
      </c>
    </row>
    <row r="35" spans="1:18" x14ac:dyDescent="0.3">
      <c r="A35" s="118"/>
      <c r="B35" s="110"/>
      <c r="C35" s="7"/>
      <c r="D35" s="110"/>
      <c r="E35" s="110"/>
      <c r="F35" s="117"/>
      <c r="G35" s="7"/>
      <c r="H35" s="8"/>
      <c r="I35" s="4">
        <f t="shared" si="0"/>
        <v>0</v>
      </c>
      <c r="J35" s="118"/>
      <c r="K35" s="110"/>
      <c r="L35" s="7"/>
      <c r="M35" s="110"/>
      <c r="N35" s="110"/>
      <c r="O35" s="117"/>
      <c r="P35" s="7"/>
      <c r="Q35" s="8"/>
      <c r="R35" s="4">
        <f t="shared" si="1"/>
        <v>0</v>
      </c>
    </row>
    <row r="36" spans="1:18" x14ac:dyDescent="0.3">
      <c r="A36" s="118"/>
      <c r="B36" s="110"/>
      <c r="C36" s="7"/>
      <c r="D36" s="110"/>
      <c r="E36" s="110"/>
      <c r="F36" s="117"/>
      <c r="G36" s="7"/>
      <c r="H36" s="8"/>
      <c r="I36" s="4">
        <f t="shared" si="0"/>
        <v>0</v>
      </c>
      <c r="J36" s="118"/>
      <c r="K36" s="110"/>
      <c r="L36" s="7"/>
      <c r="M36" s="110"/>
      <c r="N36" s="110"/>
      <c r="O36" s="117"/>
      <c r="P36" s="7"/>
      <c r="Q36" s="8"/>
      <c r="R36" s="4">
        <f t="shared" si="1"/>
        <v>0</v>
      </c>
    </row>
    <row r="37" spans="1:18" x14ac:dyDescent="0.3">
      <c r="A37" s="118"/>
      <c r="B37" s="110"/>
      <c r="C37" s="7"/>
      <c r="D37" s="110"/>
      <c r="E37" s="110"/>
      <c r="F37" s="117"/>
      <c r="G37" s="7"/>
      <c r="H37" s="8"/>
      <c r="I37" s="4">
        <f t="shared" si="0"/>
        <v>0</v>
      </c>
      <c r="J37" s="118"/>
      <c r="K37" s="110"/>
      <c r="L37" s="7"/>
      <c r="M37" s="110"/>
      <c r="N37" s="110"/>
      <c r="O37" s="117"/>
      <c r="P37" s="7"/>
      <c r="Q37" s="8"/>
      <c r="R37" s="4">
        <f t="shared" si="1"/>
        <v>0</v>
      </c>
    </row>
    <row r="38" spans="1:18" x14ac:dyDescent="0.3">
      <c r="A38" s="118"/>
      <c r="B38" s="110"/>
      <c r="C38" s="7"/>
      <c r="D38" s="110"/>
      <c r="E38" s="110"/>
      <c r="F38" s="117"/>
      <c r="G38" s="7"/>
      <c r="H38" s="8"/>
      <c r="I38" s="4">
        <f t="shared" si="0"/>
        <v>0</v>
      </c>
      <c r="J38" s="118"/>
      <c r="K38" s="110"/>
      <c r="L38" s="7"/>
      <c r="M38" s="110"/>
      <c r="N38" s="110"/>
      <c r="O38" s="117"/>
      <c r="P38" s="7"/>
      <c r="Q38" s="8"/>
      <c r="R38" s="4">
        <f t="shared" si="1"/>
        <v>0</v>
      </c>
    </row>
    <row r="39" spans="1:18" x14ac:dyDescent="0.3">
      <c r="A39" s="118"/>
      <c r="B39" s="110"/>
      <c r="C39" s="7"/>
      <c r="D39" s="110"/>
      <c r="E39" s="110"/>
      <c r="F39" s="117"/>
      <c r="G39" s="7"/>
      <c r="H39" s="8"/>
      <c r="I39" s="4">
        <f t="shared" si="0"/>
        <v>0</v>
      </c>
      <c r="J39" s="118"/>
      <c r="K39" s="110"/>
      <c r="L39" s="7"/>
      <c r="M39" s="110"/>
      <c r="N39" s="110"/>
      <c r="O39" s="117"/>
      <c r="P39" s="7"/>
      <c r="Q39" s="8"/>
      <c r="R39" s="4">
        <f t="shared" si="1"/>
        <v>0</v>
      </c>
    </row>
    <row r="40" spans="1:18" x14ac:dyDescent="0.3">
      <c r="A40" s="119"/>
      <c r="B40" s="120"/>
      <c r="C40" s="7"/>
      <c r="D40" s="110"/>
      <c r="E40" s="110"/>
      <c r="F40" s="117"/>
      <c r="G40" s="9"/>
      <c r="H40" s="1"/>
      <c r="I40" s="4">
        <f>H40-G40</f>
        <v>0</v>
      </c>
      <c r="J40" s="118"/>
      <c r="K40" s="110"/>
      <c r="L40" s="7"/>
      <c r="M40" s="110"/>
      <c r="N40" s="110"/>
      <c r="O40" s="117"/>
      <c r="P40" s="7"/>
      <c r="Q40" s="8"/>
      <c r="R40" s="4">
        <f t="shared" si="1"/>
        <v>0</v>
      </c>
    </row>
    <row r="41" spans="1:18" x14ac:dyDescent="0.3">
      <c r="A41" s="118"/>
      <c r="B41" s="110"/>
      <c r="C41" s="7"/>
      <c r="D41" s="110"/>
      <c r="E41" s="110"/>
      <c r="F41" s="117"/>
      <c r="G41" s="7"/>
      <c r="H41" s="8"/>
      <c r="I41" s="4">
        <f t="shared" si="0"/>
        <v>0</v>
      </c>
      <c r="J41" s="118"/>
      <c r="K41" s="110"/>
      <c r="L41" s="7"/>
      <c r="M41" s="110"/>
      <c r="N41" s="110"/>
      <c r="O41" s="117"/>
      <c r="P41" s="7"/>
      <c r="Q41" s="8"/>
      <c r="R41" s="4">
        <f t="shared" si="1"/>
        <v>0</v>
      </c>
    </row>
    <row r="42" spans="1:18" x14ac:dyDescent="0.3">
      <c r="A42" s="118"/>
      <c r="B42" s="110"/>
      <c r="C42" s="7"/>
      <c r="D42" s="110"/>
      <c r="E42" s="110"/>
      <c r="F42" s="117"/>
      <c r="G42" s="7"/>
      <c r="H42" s="8"/>
      <c r="I42" s="4">
        <f t="shared" si="0"/>
        <v>0</v>
      </c>
      <c r="J42" s="119"/>
      <c r="K42" s="120"/>
      <c r="L42" s="7"/>
      <c r="M42" s="110"/>
      <c r="N42" s="110"/>
      <c r="O42" s="117"/>
      <c r="P42" s="9"/>
      <c r="Q42" s="1"/>
      <c r="R42" s="4">
        <f>Q42-P42</f>
        <v>0</v>
      </c>
    </row>
    <row r="43" spans="1:18" x14ac:dyDescent="0.3">
      <c r="A43" s="118"/>
      <c r="B43" s="110"/>
      <c r="C43" s="7"/>
      <c r="D43" s="110"/>
      <c r="E43" s="110"/>
      <c r="F43" s="117"/>
      <c r="G43" s="7"/>
      <c r="H43" s="8"/>
      <c r="I43" s="4">
        <f t="shared" si="0"/>
        <v>0</v>
      </c>
      <c r="J43" s="118"/>
      <c r="K43" s="110"/>
      <c r="L43" s="7"/>
      <c r="M43" s="110"/>
      <c r="N43" s="110"/>
      <c r="O43" s="117"/>
      <c r="P43" s="7"/>
      <c r="Q43" s="8"/>
      <c r="R43" s="4">
        <f t="shared" ref="R43:R49" si="2">Q43-P43</f>
        <v>0</v>
      </c>
    </row>
    <row r="44" spans="1:18" x14ac:dyDescent="0.3">
      <c r="A44" s="118"/>
      <c r="B44" s="110"/>
      <c r="C44" s="7"/>
      <c r="D44" s="110"/>
      <c r="E44" s="110"/>
      <c r="F44" s="117"/>
      <c r="G44" s="7"/>
      <c r="H44" s="8"/>
      <c r="I44" s="4">
        <f t="shared" si="0"/>
        <v>0</v>
      </c>
      <c r="J44" s="118"/>
      <c r="K44" s="110"/>
      <c r="L44" s="7"/>
      <c r="M44" s="110"/>
      <c r="N44" s="110"/>
      <c r="O44" s="117"/>
      <c r="P44" s="7"/>
      <c r="Q44" s="8"/>
      <c r="R44" s="4">
        <f t="shared" si="2"/>
        <v>0</v>
      </c>
    </row>
    <row r="45" spans="1:18" x14ac:dyDescent="0.3">
      <c r="A45" s="118"/>
      <c r="B45" s="110"/>
      <c r="C45" s="7"/>
      <c r="D45" s="110"/>
      <c r="E45" s="110"/>
      <c r="F45" s="117"/>
      <c r="G45" s="7"/>
      <c r="H45" s="8"/>
      <c r="I45" s="4">
        <f t="shared" si="0"/>
        <v>0</v>
      </c>
      <c r="J45" s="118"/>
      <c r="K45" s="110"/>
      <c r="L45" s="7"/>
      <c r="M45" s="110"/>
      <c r="N45" s="110"/>
      <c r="O45" s="117"/>
      <c r="P45" s="7"/>
      <c r="Q45" s="8"/>
      <c r="R45" s="4">
        <f t="shared" si="2"/>
        <v>0</v>
      </c>
    </row>
    <row r="46" spans="1:18" x14ac:dyDescent="0.3">
      <c r="A46" s="118"/>
      <c r="B46" s="110"/>
      <c r="C46" s="7"/>
      <c r="D46" s="110"/>
      <c r="E46" s="110"/>
      <c r="F46" s="117"/>
      <c r="G46" s="7"/>
      <c r="H46" s="8"/>
      <c r="I46" s="4">
        <f t="shared" si="0"/>
        <v>0</v>
      </c>
      <c r="J46" s="118"/>
      <c r="K46" s="110"/>
      <c r="L46" s="7"/>
      <c r="M46" s="110"/>
      <c r="N46" s="110"/>
      <c r="O46" s="117"/>
      <c r="P46" s="7"/>
      <c r="Q46" s="8"/>
      <c r="R46" s="4">
        <f t="shared" si="2"/>
        <v>0</v>
      </c>
    </row>
    <row r="47" spans="1:18" x14ac:dyDescent="0.3">
      <c r="A47" s="118"/>
      <c r="B47" s="110"/>
      <c r="C47" s="7"/>
      <c r="D47" s="110"/>
      <c r="E47" s="110"/>
      <c r="F47" s="117"/>
      <c r="G47" s="7"/>
      <c r="H47" s="8"/>
      <c r="I47" s="4">
        <f t="shared" si="0"/>
        <v>0</v>
      </c>
      <c r="J47" s="118"/>
      <c r="K47" s="110"/>
      <c r="L47" s="7"/>
      <c r="M47" s="110"/>
      <c r="N47" s="110"/>
      <c r="O47" s="117"/>
      <c r="P47" s="7"/>
      <c r="Q47" s="8"/>
      <c r="R47" s="4">
        <f t="shared" si="2"/>
        <v>0</v>
      </c>
    </row>
    <row r="48" spans="1:18" x14ac:dyDescent="0.3">
      <c r="A48" s="118"/>
      <c r="B48" s="110"/>
      <c r="C48" s="7"/>
      <c r="D48" s="110"/>
      <c r="E48" s="110"/>
      <c r="F48" s="117"/>
      <c r="G48" s="7"/>
      <c r="H48" s="8"/>
      <c r="I48" s="4">
        <f t="shared" si="0"/>
        <v>0</v>
      </c>
      <c r="J48" s="118"/>
      <c r="K48" s="110"/>
      <c r="L48" s="7"/>
      <c r="M48" s="110"/>
      <c r="N48" s="110"/>
      <c r="O48" s="117"/>
      <c r="P48" s="7"/>
      <c r="Q48" s="8"/>
      <c r="R48" s="4">
        <f t="shared" si="2"/>
        <v>0</v>
      </c>
    </row>
    <row r="49" spans="1:18" ht="15" thickBot="1" x14ac:dyDescent="0.35">
      <c r="A49" s="75"/>
      <c r="B49" s="76"/>
      <c r="C49" s="10"/>
      <c r="D49" s="110"/>
      <c r="E49" s="110"/>
      <c r="F49" s="117"/>
      <c r="G49" s="10"/>
      <c r="H49" s="11"/>
      <c r="I49" s="12">
        <f t="shared" si="0"/>
        <v>0</v>
      </c>
      <c r="J49" s="118"/>
      <c r="K49" s="110"/>
      <c r="L49" s="7"/>
      <c r="M49" s="110"/>
      <c r="N49" s="110"/>
      <c r="O49" s="117"/>
      <c r="P49" s="7"/>
      <c r="Q49" s="8"/>
      <c r="R49" s="4">
        <f t="shared" si="2"/>
        <v>0</v>
      </c>
    </row>
    <row r="50" spans="1:18" ht="15" thickBot="1" x14ac:dyDescent="0.35">
      <c r="A50" s="121"/>
      <c r="B50" s="122"/>
      <c r="C50" s="16"/>
      <c r="D50" s="123"/>
      <c r="E50" s="123"/>
      <c r="F50" s="122"/>
      <c r="G50" s="124" t="s">
        <v>38</v>
      </c>
      <c r="H50" s="122"/>
      <c r="I50" s="13">
        <f>SUM(I12:I49)</f>
        <v>0.80347222222222248</v>
      </c>
      <c r="J50" s="121"/>
      <c r="K50" s="122"/>
      <c r="L50" s="16"/>
      <c r="M50" s="123"/>
      <c r="N50" s="123"/>
      <c r="O50" s="122"/>
      <c r="P50" s="124" t="s">
        <v>38</v>
      </c>
      <c r="Q50" s="122"/>
      <c r="R50" s="13">
        <f>SUM(R12:R49)</f>
        <v>0.43055555555555552</v>
      </c>
    </row>
    <row r="51" spans="1:18" ht="15" thickTop="1" x14ac:dyDescent="0.3"/>
  </sheetData>
  <mergeCells count="189">
    <mergeCell ref="A50:B50"/>
    <mergeCell ref="D50:F50"/>
    <mergeCell ref="G50:H50"/>
    <mergeCell ref="J50:K50"/>
    <mergeCell ref="M50:O50"/>
    <mergeCell ref="P50:Q50"/>
    <mergeCell ref="A48:B48"/>
    <mergeCell ref="D48:F48"/>
    <mergeCell ref="J49:K49"/>
    <mergeCell ref="M49:O49"/>
    <mergeCell ref="A49:B49"/>
    <mergeCell ref="D49:F49"/>
    <mergeCell ref="A46:B46"/>
    <mergeCell ref="D46:F46"/>
    <mergeCell ref="J47:K47"/>
    <mergeCell ref="M47:O47"/>
    <mergeCell ref="A47:B47"/>
    <mergeCell ref="D47:F47"/>
    <mergeCell ref="J48:K48"/>
    <mergeCell ref="M48:O48"/>
    <mergeCell ref="A44:B44"/>
    <mergeCell ref="D44:F44"/>
    <mergeCell ref="J45:K45"/>
    <mergeCell ref="M45:O45"/>
    <mergeCell ref="A45:B45"/>
    <mergeCell ref="D45:F45"/>
    <mergeCell ref="J46:K46"/>
    <mergeCell ref="M46:O46"/>
    <mergeCell ref="A42:B42"/>
    <mergeCell ref="D42:F42"/>
    <mergeCell ref="J43:K43"/>
    <mergeCell ref="M43:O43"/>
    <mergeCell ref="A43:B43"/>
    <mergeCell ref="D43:F43"/>
    <mergeCell ref="J44:K44"/>
    <mergeCell ref="M44:O44"/>
    <mergeCell ref="A40:B40"/>
    <mergeCell ref="D40:F40"/>
    <mergeCell ref="J41:K41"/>
    <mergeCell ref="M41:O41"/>
    <mergeCell ref="A41:B41"/>
    <mergeCell ref="D41:F41"/>
    <mergeCell ref="J42:K42"/>
    <mergeCell ref="M42:O42"/>
    <mergeCell ref="A38:B38"/>
    <mergeCell ref="D38:F38"/>
    <mergeCell ref="J39:K39"/>
    <mergeCell ref="M39:O39"/>
    <mergeCell ref="A39:B39"/>
    <mergeCell ref="D39:F39"/>
    <mergeCell ref="J40:K40"/>
    <mergeCell ref="M40:O40"/>
    <mergeCell ref="A36:B36"/>
    <mergeCell ref="D36:F36"/>
    <mergeCell ref="J37:K37"/>
    <mergeCell ref="M37:O37"/>
    <mergeCell ref="A37:B37"/>
    <mergeCell ref="D37:F37"/>
    <mergeCell ref="J38:K38"/>
    <mergeCell ref="M38:O38"/>
    <mergeCell ref="A34:B34"/>
    <mergeCell ref="D34:F34"/>
    <mergeCell ref="J35:K35"/>
    <mergeCell ref="M35:O35"/>
    <mergeCell ref="A35:B35"/>
    <mergeCell ref="D35:F35"/>
    <mergeCell ref="J36:K36"/>
    <mergeCell ref="M36:O36"/>
    <mergeCell ref="A32:B32"/>
    <mergeCell ref="D32:F32"/>
    <mergeCell ref="J33:K33"/>
    <mergeCell ref="M33:O33"/>
    <mergeCell ref="A33:B33"/>
    <mergeCell ref="D33:F33"/>
    <mergeCell ref="J34:K34"/>
    <mergeCell ref="M34:O34"/>
    <mergeCell ref="A30:B30"/>
    <mergeCell ref="D30:F30"/>
    <mergeCell ref="J31:K31"/>
    <mergeCell ref="M31:O31"/>
    <mergeCell ref="A31:B31"/>
    <mergeCell ref="D31:F31"/>
    <mergeCell ref="J32:K32"/>
    <mergeCell ref="M32:O32"/>
    <mergeCell ref="A28:B28"/>
    <mergeCell ref="D28:F28"/>
    <mergeCell ref="J29:K29"/>
    <mergeCell ref="M29:O29"/>
    <mergeCell ref="A29:B29"/>
    <mergeCell ref="D29:F29"/>
    <mergeCell ref="J30:K30"/>
    <mergeCell ref="M30:O30"/>
    <mergeCell ref="A26:B26"/>
    <mergeCell ref="D26:F26"/>
    <mergeCell ref="J27:K27"/>
    <mergeCell ref="M27:O27"/>
    <mergeCell ref="A27:B27"/>
    <mergeCell ref="D27:F27"/>
    <mergeCell ref="J28:K28"/>
    <mergeCell ref="M28:O28"/>
    <mergeCell ref="A24:B24"/>
    <mergeCell ref="D24:F24"/>
    <mergeCell ref="J25:K25"/>
    <mergeCell ref="M25:O25"/>
    <mergeCell ref="A25:B25"/>
    <mergeCell ref="D25:F25"/>
    <mergeCell ref="J26:K26"/>
    <mergeCell ref="M26:O26"/>
    <mergeCell ref="A22:B22"/>
    <mergeCell ref="D22:F22"/>
    <mergeCell ref="J23:K23"/>
    <mergeCell ref="M23:O23"/>
    <mergeCell ref="A23:B23"/>
    <mergeCell ref="D23:F23"/>
    <mergeCell ref="J24:K24"/>
    <mergeCell ref="M24:O24"/>
    <mergeCell ref="A20:B20"/>
    <mergeCell ref="D20:F20"/>
    <mergeCell ref="J21:K21"/>
    <mergeCell ref="M21:O21"/>
    <mergeCell ref="A21:B21"/>
    <mergeCell ref="D21:F21"/>
    <mergeCell ref="J22:K22"/>
    <mergeCell ref="M22:O22"/>
    <mergeCell ref="A18:B18"/>
    <mergeCell ref="D18:F18"/>
    <mergeCell ref="J19:K19"/>
    <mergeCell ref="M19:O19"/>
    <mergeCell ref="A19:B19"/>
    <mergeCell ref="D19:F19"/>
    <mergeCell ref="J20:K20"/>
    <mergeCell ref="M20:O20"/>
    <mergeCell ref="A16:B16"/>
    <mergeCell ref="D16:F16"/>
    <mergeCell ref="M17:O17"/>
    <mergeCell ref="A17:B17"/>
    <mergeCell ref="D17:F17"/>
    <mergeCell ref="J18:K18"/>
    <mergeCell ref="M18:O18"/>
    <mergeCell ref="J17:K17"/>
    <mergeCell ref="A15:B15"/>
    <mergeCell ref="D15:F15"/>
    <mergeCell ref="J16:K16"/>
    <mergeCell ref="M16:O16"/>
    <mergeCell ref="A12:B12"/>
    <mergeCell ref="D12:F12"/>
    <mergeCell ref="J12:K12"/>
    <mergeCell ref="M12:O12"/>
    <mergeCell ref="A13:B13"/>
    <mergeCell ref="D13:F13"/>
    <mergeCell ref="J14:K14"/>
    <mergeCell ref="M14:O14"/>
    <mergeCell ref="J13:K13"/>
    <mergeCell ref="M13:O13"/>
    <mergeCell ref="J15:K15"/>
    <mergeCell ref="M15:O15"/>
    <mergeCell ref="R8:R11"/>
    <mergeCell ref="A7:B11"/>
    <mergeCell ref="C7:C11"/>
    <mergeCell ref="D7:F11"/>
    <mergeCell ref="G7:I7"/>
    <mergeCell ref="J7:K11"/>
    <mergeCell ref="L7:L11"/>
    <mergeCell ref="A14:B14"/>
    <mergeCell ref="D14:F14"/>
    <mergeCell ref="L4:R4"/>
    <mergeCell ref="A5:B5"/>
    <mergeCell ref="C5:I5"/>
    <mergeCell ref="J5:K5"/>
    <mergeCell ref="L5:R5"/>
    <mergeCell ref="A6:I6"/>
    <mergeCell ref="J6:R6"/>
    <mergeCell ref="A1:R2"/>
    <mergeCell ref="S1:W2"/>
    <mergeCell ref="A3:B3"/>
    <mergeCell ref="C3:I3"/>
    <mergeCell ref="J3:K3"/>
    <mergeCell ref="L3:R3"/>
    <mergeCell ref="S3:W11"/>
    <mergeCell ref="A4:B4"/>
    <mergeCell ref="C4:I4"/>
    <mergeCell ref="J4:K4"/>
    <mergeCell ref="M7:O11"/>
    <mergeCell ref="P7:R7"/>
    <mergeCell ref="G8:G11"/>
    <mergeCell ref="H8:H11"/>
    <mergeCell ref="I8:I11"/>
    <mergeCell ref="P8:P11"/>
    <mergeCell ref="Q8:Q11"/>
  </mergeCells>
  <pageMargins left="0.7" right="0.7" top="0.75" bottom="0.75" header="0.3" footer="0.3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487797-CC43-8C48-A15E-5C0AD1FE07C6}">
  <dimension ref="A1:W51"/>
  <sheetViews>
    <sheetView tabSelected="1" topLeftCell="A6" zoomScaleNormal="100" workbookViewId="0">
      <selection activeCell="H14" sqref="H14"/>
    </sheetView>
  </sheetViews>
  <sheetFormatPr defaultColWidth="8.77734375" defaultRowHeight="14.4" x14ac:dyDescent="0.3"/>
  <cols>
    <col min="4" max="6" width="8.77734375" style="15"/>
  </cols>
  <sheetData>
    <row r="1" spans="1:23" x14ac:dyDescent="0.3">
      <c r="A1" s="78" t="s">
        <v>71</v>
      </c>
      <c r="B1" s="79"/>
      <c r="C1" s="79"/>
      <c r="D1" s="79"/>
      <c r="E1" s="79"/>
      <c r="F1" s="79"/>
      <c r="G1" s="79"/>
      <c r="H1" s="79"/>
      <c r="I1" s="79"/>
      <c r="J1" s="79"/>
      <c r="K1" s="79"/>
      <c r="L1" s="79"/>
      <c r="M1" s="79"/>
      <c r="N1" s="79"/>
      <c r="O1" s="79"/>
      <c r="P1" s="79"/>
      <c r="Q1" s="79"/>
      <c r="R1" s="79"/>
      <c r="S1" s="78" t="s">
        <v>46</v>
      </c>
      <c r="T1" s="79"/>
      <c r="U1" s="79"/>
      <c r="V1" s="79"/>
      <c r="W1" s="79"/>
    </row>
    <row r="2" spans="1:23" ht="15" thickBot="1" x14ac:dyDescent="0.35">
      <c r="A2" s="80"/>
      <c r="B2" s="80"/>
      <c r="C2" s="80"/>
      <c r="D2" s="80"/>
      <c r="E2" s="80"/>
      <c r="F2" s="80"/>
      <c r="G2" s="80"/>
      <c r="H2" s="80"/>
      <c r="I2" s="80"/>
      <c r="J2" s="80"/>
      <c r="K2" s="80"/>
      <c r="L2" s="80"/>
      <c r="M2" s="80"/>
      <c r="N2" s="80"/>
      <c r="O2" s="80"/>
      <c r="P2" s="80"/>
      <c r="Q2" s="80"/>
      <c r="R2" s="80"/>
      <c r="S2" s="79"/>
      <c r="T2" s="79"/>
      <c r="U2" s="79"/>
      <c r="V2" s="79"/>
      <c r="W2" s="79"/>
    </row>
    <row r="3" spans="1:23" ht="15" thickTop="1" x14ac:dyDescent="0.3">
      <c r="A3" s="81" t="s">
        <v>6</v>
      </c>
      <c r="B3" s="82"/>
      <c r="C3" s="83" t="s">
        <v>85</v>
      </c>
      <c r="D3" s="84"/>
      <c r="E3" s="84"/>
      <c r="F3" s="84"/>
      <c r="G3" s="84"/>
      <c r="H3" s="84"/>
      <c r="I3" s="85"/>
      <c r="J3" s="81" t="s">
        <v>6</v>
      </c>
      <c r="K3" s="82"/>
      <c r="L3" s="83" t="s">
        <v>85</v>
      </c>
      <c r="M3" s="84"/>
      <c r="N3" s="84"/>
      <c r="O3" s="84"/>
      <c r="P3" s="84"/>
      <c r="Q3" s="84"/>
      <c r="R3" s="85"/>
      <c r="S3" s="86"/>
      <c r="T3" s="79"/>
      <c r="U3" s="79"/>
      <c r="V3" s="79"/>
      <c r="W3" s="79"/>
    </row>
    <row r="4" spans="1:23" x14ac:dyDescent="0.3">
      <c r="A4" s="87" t="s">
        <v>7</v>
      </c>
      <c r="B4" s="88"/>
      <c r="C4" s="69" t="s">
        <v>44</v>
      </c>
      <c r="D4" s="69"/>
      <c r="E4" s="69"/>
      <c r="F4" s="69"/>
      <c r="G4" s="69"/>
      <c r="H4" s="69"/>
      <c r="I4" s="70"/>
      <c r="J4" s="87" t="s">
        <v>7</v>
      </c>
      <c r="K4" s="88"/>
      <c r="L4" s="69" t="s">
        <v>44</v>
      </c>
      <c r="M4" s="69"/>
      <c r="N4" s="69"/>
      <c r="O4" s="69"/>
      <c r="P4" s="69"/>
      <c r="Q4" s="69"/>
      <c r="R4" s="70"/>
      <c r="S4" s="86"/>
      <c r="T4" s="79"/>
      <c r="U4" s="79"/>
      <c r="V4" s="79"/>
      <c r="W4" s="79"/>
    </row>
    <row r="5" spans="1:23" x14ac:dyDescent="0.3">
      <c r="A5" s="71" t="s">
        <v>2</v>
      </c>
      <c r="B5" s="72"/>
      <c r="C5" s="73" t="s">
        <v>3</v>
      </c>
      <c r="D5" s="73"/>
      <c r="E5" s="73"/>
      <c r="F5" s="73"/>
      <c r="G5" s="73"/>
      <c r="H5" s="73"/>
      <c r="I5" s="74"/>
      <c r="J5" s="71" t="s">
        <v>2</v>
      </c>
      <c r="K5" s="72"/>
      <c r="L5" s="73" t="s">
        <v>5</v>
      </c>
      <c r="M5" s="73"/>
      <c r="N5" s="73"/>
      <c r="O5" s="73"/>
      <c r="P5" s="73"/>
      <c r="Q5" s="73"/>
      <c r="R5" s="74"/>
      <c r="S5" s="86"/>
      <c r="T5" s="79"/>
      <c r="U5" s="79"/>
      <c r="V5" s="79"/>
      <c r="W5" s="79"/>
    </row>
    <row r="6" spans="1:23" ht="15" thickBot="1" x14ac:dyDescent="0.35">
      <c r="A6" s="75"/>
      <c r="B6" s="76"/>
      <c r="C6" s="76"/>
      <c r="D6" s="76"/>
      <c r="E6" s="76"/>
      <c r="F6" s="76"/>
      <c r="G6" s="76"/>
      <c r="H6" s="76"/>
      <c r="I6" s="77"/>
      <c r="J6" s="75"/>
      <c r="K6" s="76"/>
      <c r="L6" s="76"/>
      <c r="M6" s="76"/>
      <c r="N6" s="76"/>
      <c r="O6" s="76"/>
      <c r="P6" s="76"/>
      <c r="Q6" s="76"/>
      <c r="R6" s="77"/>
      <c r="S6" s="86"/>
      <c r="T6" s="79"/>
      <c r="U6" s="79"/>
      <c r="V6" s="79"/>
      <c r="W6" s="79"/>
    </row>
    <row r="7" spans="1:23" ht="15" thickBot="1" x14ac:dyDescent="0.35">
      <c r="A7" s="100" t="s">
        <v>8</v>
      </c>
      <c r="B7" s="101"/>
      <c r="C7" s="106" t="s">
        <v>43</v>
      </c>
      <c r="D7" s="89" t="s">
        <v>9</v>
      </c>
      <c r="E7" s="89"/>
      <c r="F7" s="90"/>
      <c r="G7" s="32" t="s">
        <v>10</v>
      </c>
      <c r="H7" s="33"/>
      <c r="I7" s="95"/>
      <c r="J7" s="100" t="s">
        <v>8</v>
      </c>
      <c r="K7" s="101"/>
      <c r="L7" s="106" t="s">
        <v>43</v>
      </c>
      <c r="M7" s="89" t="s">
        <v>9</v>
      </c>
      <c r="N7" s="89"/>
      <c r="O7" s="90"/>
      <c r="P7" s="32" t="s">
        <v>10</v>
      </c>
      <c r="Q7" s="33"/>
      <c r="R7" s="95"/>
      <c r="S7" s="86"/>
      <c r="T7" s="79"/>
      <c r="U7" s="79"/>
      <c r="V7" s="79"/>
      <c r="W7" s="79"/>
    </row>
    <row r="8" spans="1:23" ht="15" thickTop="1" x14ac:dyDescent="0.3">
      <c r="A8" s="102"/>
      <c r="B8" s="103"/>
      <c r="C8" s="107"/>
      <c r="D8" s="129"/>
      <c r="E8" s="129"/>
      <c r="F8" s="92"/>
      <c r="G8" s="96" t="s">
        <v>11</v>
      </c>
      <c r="H8" s="96" t="s">
        <v>12</v>
      </c>
      <c r="I8" s="98" t="s">
        <v>13</v>
      </c>
      <c r="J8" s="102"/>
      <c r="K8" s="103"/>
      <c r="L8" s="107"/>
      <c r="M8" s="91"/>
      <c r="N8" s="91"/>
      <c r="O8" s="92"/>
      <c r="P8" s="96" t="s">
        <v>11</v>
      </c>
      <c r="Q8" s="96" t="s">
        <v>12</v>
      </c>
      <c r="R8" s="98" t="s">
        <v>13</v>
      </c>
      <c r="S8" s="86"/>
      <c r="T8" s="79"/>
      <c r="U8" s="79"/>
      <c r="V8" s="79"/>
      <c r="W8" s="79"/>
    </row>
    <row r="9" spans="1:23" x14ac:dyDescent="0.3">
      <c r="A9" s="102"/>
      <c r="B9" s="103"/>
      <c r="C9" s="107"/>
      <c r="D9" s="129"/>
      <c r="E9" s="129"/>
      <c r="F9" s="92"/>
      <c r="G9" s="96"/>
      <c r="H9" s="96"/>
      <c r="I9" s="98"/>
      <c r="J9" s="102"/>
      <c r="K9" s="103"/>
      <c r="L9" s="107"/>
      <c r="M9" s="91"/>
      <c r="N9" s="91"/>
      <c r="O9" s="92"/>
      <c r="P9" s="96"/>
      <c r="Q9" s="96"/>
      <c r="R9" s="98"/>
      <c r="S9" s="86"/>
      <c r="T9" s="79"/>
      <c r="U9" s="79"/>
      <c r="V9" s="79"/>
      <c r="W9" s="79"/>
    </row>
    <row r="10" spans="1:23" x14ac:dyDescent="0.3">
      <c r="A10" s="102"/>
      <c r="B10" s="103"/>
      <c r="C10" s="107"/>
      <c r="D10" s="129"/>
      <c r="E10" s="129"/>
      <c r="F10" s="92"/>
      <c r="G10" s="96"/>
      <c r="H10" s="96"/>
      <c r="I10" s="98"/>
      <c r="J10" s="102"/>
      <c r="K10" s="103"/>
      <c r="L10" s="107"/>
      <c r="M10" s="91"/>
      <c r="N10" s="91"/>
      <c r="O10" s="92"/>
      <c r="P10" s="96"/>
      <c r="Q10" s="96"/>
      <c r="R10" s="98"/>
      <c r="S10" s="86"/>
      <c r="T10" s="79"/>
      <c r="U10" s="79"/>
      <c r="V10" s="79"/>
      <c r="W10" s="79"/>
    </row>
    <row r="11" spans="1:23" ht="15" thickBot="1" x14ac:dyDescent="0.35">
      <c r="A11" s="104"/>
      <c r="B11" s="105"/>
      <c r="C11" s="108"/>
      <c r="D11" s="93"/>
      <c r="E11" s="93"/>
      <c r="F11" s="94"/>
      <c r="G11" s="97"/>
      <c r="H11" s="97"/>
      <c r="I11" s="99"/>
      <c r="J11" s="104"/>
      <c r="K11" s="105"/>
      <c r="L11" s="108"/>
      <c r="M11" s="93"/>
      <c r="N11" s="93"/>
      <c r="O11" s="94"/>
      <c r="P11" s="97"/>
      <c r="Q11" s="97"/>
      <c r="R11" s="99"/>
      <c r="S11" s="86"/>
      <c r="T11" s="79"/>
      <c r="U11" s="79"/>
      <c r="V11" s="79"/>
      <c r="W11" s="79"/>
    </row>
    <row r="12" spans="1:23" x14ac:dyDescent="0.3">
      <c r="A12" s="112" t="s">
        <v>79</v>
      </c>
      <c r="B12" s="113"/>
      <c r="C12" s="14"/>
      <c r="D12" s="114" t="s">
        <v>80</v>
      </c>
      <c r="E12" s="114"/>
      <c r="F12" s="115"/>
      <c r="G12" s="127">
        <v>0.53125</v>
      </c>
      <c r="H12" s="3">
        <v>0.64236111111111105</v>
      </c>
      <c r="I12" s="4">
        <f>H12-G12</f>
        <v>0.11111111111111105</v>
      </c>
      <c r="J12" s="112">
        <v>44902</v>
      </c>
      <c r="K12" s="113"/>
      <c r="L12" s="14"/>
      <c r="M12" s="69" t="s">
        <v>72</v>
      </c>
      <c r="N12" s="69"/>
      <c r="O12" s="111"/>
      <c r="P12" s="2">
        <v>0.375</v>
      </c>
      <c r="Q12" s="3">
        <v>0.4375</v>
      </c>
      <c r="R12" s="4">
        <f>Q12-P12</f>
        <v>6.25E-2</v>
      </c>
    </row>
    <row r="13" spans="1:23" x14ac:dyDescent="0.3">
      <c r="A13" s="109" t="s">
        <v>78</v>
      </c>
      <c r="B13" s="110"/>
      <c r="C13" s="7"/>
      <c r="D13" s="69" t="s">
        <v>72</v>
      </c>
      <c r="E13" s="69"/>
      <c r="F13" s="111"/>
      <c r="G13" s="128">
        <v>0.375</v>
      </c>
      <c r="H13" s="6">
        <v>0.48958333333333331</v>
      </c>
      <c r="I13" s="4">
        <f>H13-G13</f>
        <v>0.11458333333333331</v>
      </c>
      <c r="J13" s="109">
        <v>44903</v>
      </c>
      <c r="K13" s="110"/>
      <c r="L13" s="7"/>
      <c r="M13" s="69" t="s">
        <v>73</v>
      </c>
      <c r="N13" s="69"/>
      <c r="O13" s="111"/>
      <c r="P13" s="5">
        <v>0.70833333333333337</v>
      </c>
      <c r="Q13" s="6">
        <v>0.83333333333333337</v>
      </c>
      <c r="R13" s="4">
        <f>Q13-P13</f>
        <v>0.125</v>
      </c>
    </row>
    <row r="14" spans="1:23" x14ac:dyDescent="0.3">
      <c r="A14" s="109" t="s">
        <v>82</v>
      </c>
      <c r="B14" s="110"/>
      <c r="C14" s="7"/>
      <c r="D14" s="130" t="s">
        <v>76</v>
      </c>
      <c r="E14" s="130"/>
      <c r="F14" s="131"/>
      <c r="G14" s="5">
        <v>0.66666666666666663</v>
      </c>
      <c r="H14" s="6">
        <v>0.71875</v>
      </c>
      <c r="I14" s="4">
        <f t="shared" ref="I14:I49" si="0">H14-G14</f>
        <v>5.208333333333337E-2</v>
      </c>
      <c r="J14" s="109">
        <v>44903</v>
      </c>
      <c r="K14" s="110"/>
      <c r="L14" s="17"/>
      <c r="M14" s="69" t="s">
        <v>74</v>
      </c>
      <c r="N14" s="69"/>
      <c r="O14" s="111"/>
      <c r="P14" s="5">
        <v>0.875</v>
      </c>
      <c r="Q14" s="6">
        <v>0.9375</v>
      </c>
      <c r="R14" s="4">
        <f t="shared" ref="R14:R40" si="1">Q14-P14</f>
        <v>6.25E-2</v>
      </c>
    </row>
    <row r="15" spans="1:23" x14ac:dyDescent="0.3">
      <c r="A15" s="109" t="s">
        <v>81</v>
      </c>
      <c r="B15" s="110"/>
      <c r="C15" s="7"/>
      <c r="D15" s="69" t="s">
        <v>84</v>
      </c>
      <c r="E15" s="69"/>
      <c r="F15" s="111"/>
      <c r="G15" s="5">
        <v>0.36805555555555558</v>
      </c>
      <c r="H15" s="6">
        <v>0.48958333333333331</v>
      </c>
      <c r="I15" s="4">
        <f t="shared" si="0"/>
        <v>0.12152777777777773</v>
      </c>
      <c r="J15" s="109">
        <v>44904</v>
      </c>
      <c r="K15" s="110"/>
      <c r="L15" s="7"/>
      <c r="M15" s="69" t="s">
        <v>75</v>
      </c>
      <c r="N15" s="69"/>
      <c r="O15" s="111"/>
      <c r="P15" s="5">
        <v>0.36805555555555558</v>
      </c>
      <c r="Q15" s="6">
        <v>0.41666666666666669</v>
      </c>
      <c r="R15" s="4">
        <f t="shared" si="1"/>
        <v>4.8611111111111105E-2</v>
      </c>
    </row>
    <row r="16" spans="1:23" x14ac:dyDescent="0.3">
      <c r="A16" s="109" t="s">
        <v>81</v>
      </c>
      <c r="B16" s="110"/>
      <c r="C16" s="7"/>
      <c r="D16" s="69" t="s">
        <v>83</v>
      </c>
      <c r="E16" s="69"/>
      <c r="F16" s="111"/>
      <c r="G16" s="5">
        <v>0.75</v>
      </c>
      <c r="H16" s="6">
        <v>0.86458333333333337</v>
      </c>
      <c r="I16" s="4">
        <f t="shared" si="0"/>
        <v>0.11458333333333337</v>
      </c>
      <c r="J16" s="109">
        <v>44905</v>
      </c>
      <c r="K16" s="116"/>
      <c r="L16" s="7"/>
      <c r="M16" s="69" t="s">
        <v>76</v>
      </c>
      <c r="N16" s="69"/>
      <c r="O16" s="111"/>
      <c r="P16" s="5">
        <v>0.66666666666666663</v>
      </c>
      <c r="Q16" s="6">
        <v>0.79166666666666663</v>
      </c>
      <c r="R16" s="4">
        <f>Q16-P16</f>
        <v>0.125</v>
      </c>
    </row>
    <row r="17" spans="1:18" x14ac:dyDescent="0.3">
      <c r="A17" s="109"/>
      <c r="B17" s="110"/>
      <c r="C17" s="7"/>
      <c r="D17" s="69"/>
      <c r="E17" s="69"/>
      <c r="F17" s="111"/>
      <c r="G17" s="5"/>
      <c r="H17" s="6"/>
      <c r="I17" s="4">
        <f t="shared" si="0"/>
        <v>0</v>
      </c>
      <c r="J17" s="109">
        <v>44906</v>
      </c>
      <c r="K17" s="110"/>
      <c r="L17" s="7"/>
      <c r="M17" s="69" t="s">
        <v>77</v>
      </c>
      <c r="N17" s="69"/>
      <c r="O17" s="111"/>
      <c r="P17" s="5">
        <v>0.86458333333333337</v>
      </c>
      <c r="Q17" s="6">
        <v>0.90625</v>
      </c>
      <c r="R17" s="4">
        <f t="shared" si="1"/>
        <v>4.166666666666663E-2</v>
      </c>
    </row>
    <row r="18" spans="1:18" x14ac:dyDescent="0.3">
      <c r="A18" s="109"/>
      <c r="B18" s="110"/>
      <c r="C18" s="7"/>
      <c r="D18" s="69"/>
      <c r="E18" s="69"/>
      <c r="F18" s="111"/>
      <c r="G18" s="5"/>
      <c r="H18" s="6"/>
      <c r="I18" s="4">
        <f t="shared" si="0"/>
        <v>0</v>
      </c>
      <c r="J18" s="109"/>
      <c r="K18" s="110"/>
      <c r="L18" s="7"/>
      <c r="M18" s="69"/>
      <c r="N18" s="69"/>
      <c r="O18" s="111"/>
      <c r="P18" s="5"/>
      <c r="Q18" s="6"/>
      <c r="R18" s="4">
        <f t="shared" si="1"/>
        <v>0</v>
      </c>
    </row>
    <row r="19" spans="1:18" x14ac:dyDescent="0.3">
      <c r="A19" s="109"/>
      <c r="B19" s="110"/>
      <c r="C19" s="7"/>
      <c r="D19" s="69"/>
      <c r="E19" s="69"/>
      <c r="F19" s="111"/>
      <c r="G19" s="5"/>
      <c r="H19" s="6"/>
      <c r="I19" s="4">
        <f t="shared" si="0"/>
        <v>0</v>
      </c>
      <c r="J19" s="109"/>
      <c r="K19" s="110"/>
      <c r="L19" s="7"/>
      <c r="M19" s="69"/>
      <c r="N19" s="69"/>
      <c r="O19" s="111"/>
      <c r="P19" s="5"/>
      <c r="Q19" s="6"/>
      <c r="R19" s="4">
        <f>Q19-P19</f>
        <v>0</v>
      </c>
    </row>
    <row r="20" spans="1:18" x14ac:dyDescent="0.3">
      <c r="A20" s="109"/>
      <c r="B20" s="110"/>
      <c r="C20" s="7"/>
      <c r="D20" s="69"/>
      <c r="E20" s="69"/>
      <c r="F20" s="111"/>
      <c r="G20" s="5"/>
      <c r="H20" s="6"/>
      <c r="I20" s="4">
        <f t="shared" si="0"/>
        <v>0</v>
      </c>
      <c r="J20" s="109"/>
      <c r="K20" s="110"/>
      <c r="L20" s="7"/>
      <c r="M20" s="69"/>
      <c r="N20" s="69"/>
      <c r="O20" s="111"/>
      <c r="P20" s="5"/>
      <c r="Q20" s="6"/>
      <c r="R20" s="4">
        <f t="shared" si="1"/>
        <v>0</v>
      </c>
    </row>
    <row r="21" spans="1:18" x14ac:dyDescent="0.3">
      <c r="A21" s="109"/>
      <c r="B21" s="110"/>
      <c r="C21" s="7"/>
      <c r="D21" s="69"/>
      <c r="E21" s="69"/>
      <c r="F21" s="111"/>
      <c r="G21" s="5"/>
      <c r="H21" s="6"/>
      <c r="I21" s="4">
        <f t="shared" si="0"/>
        <v>0</v>
      </c>
      <c r="J21" s="109"/>
      <c r="K21" s="110"/>
      <c r="L21" s="7"/>
      <c r="M21" s="110"/>
      <c r="N21" s="110"/>
      <c r="O21" s="117"/>
      <c r="P21" s="5"/>
      <c r="Q21" s="6"/>
      <c r="R21" s="4">
        <f t="shared" si="1"/>
        <v>0</v>
      </c>
    </row>
    <row r="22" spans="1:18" x14ac:dyDescent="0.3">
      <c r="A22" s="109"/>
      <c r="B22" s="110"/>
      <c r="C22" s="7"/>
      <c r="D22" s="110"/>
      <c r="E22" s="110"/>
      <c r="F22" s="117"/>
      <c r="G22" s="5"/>
      <c r="H22" s="6"/>
      <c r="I22" s="4">
        <f t="shared" si="0"/>
        <v>0</v>
      </c>
      <c r="J22" s="109"/>
      <c r="K22" s="110"/>
      <c r="L22" s="7"/>
      <c r="M22" s="110"/>
      <c r="N22" s="110"/>
      <c r="O22" s="117"/>
      <c r="P22" s="5"/>
      <c r="Q22" s="6"/>
      <c r="R22" s="4">
        <f t="shared" si="1"/>
        <v>0</v>
      </c>
    </row>
    <row r="23" spans="1:18" x14ac:dyDescent="0.3">
      <c r="A23" s="109"/>
      <c r="B23" s="110"/>
      <c r="C23" s="7"/>
      <c r="D23" s="110"/>
      <c r="E23" s="110"/>
      <c r="F23" s="117"/>
      <c r="G23" s="5"/>
      <c r="H23" s="6"/>
      <c r="I23" s="4">
        <f t="shared" si="0"/>
        <v>0</v>
      </c>
      <c r="J23" s="109"/>
      <c r="K23" s="110"/>
      <c r="L23" s="7"/>
      <c r="M23" s="110"/>
      <c r="N23" s="110"/>
      <c r="O23" s="117"/>
      <c r="P23" s="5"/>
      <c r="Q23" s="6"/>
      <c r="R23" s="4">
        <f t="shared" si="1"/>
        <v>0</v>
      </c>
    </row>
    <row r="24" spans="1:18" x14ac:dyDescent="0.3">
      <c r="A24" s="109"/>
      <c r="B24" s="110"/>
      <c r="C24" s="7"/>
      <c r="D24" s="110"/>
      <c r="E24" s="110"/>
      <c r="F24" s="117"/>
      <c r="G24" s="5"/>
      <c r="H24" s="6"/>
      <c r="I24" s="4">
        <f t="shared" si="0"/>
        <v>0</v>
      </c>
      <c r="J24" s="109"/>
      <c r="K24" s="110"/>
      <c r="L24" s="7"/>
      <c r="M24" s="110"/>
      <c r="N24" s="110"/>
      <c r="O24" s="117"/>
      <c r="P24" s="5"/>
      <c r="Q24" s="6"/>
      <c r="R24" s="4">
        <f t="shared" si="1"/>
        <v>0</v>
      </c>
    </row>
    <row r="25" spans="1:18" x14ac:dyDescent="0.3">
      <c r="A25" s="109"/>
      <c r="B25" s="110"/>
      <c r="C25" s="7"/>
      <c r="D25" s="110"/>
      <c r="E25" s="110"/>
      <c r="F25" s="117"/>
      <c r="G25" s="5"/>
      <c r="H25" s="6"/>
      <c r="I25" s="4">
        <f t="shared" si="0"/>
        <v>0</v>
      </c>
      <c r="J25" s="109"/>
      <c r="K25" s="110"/>
      <c r="L25" s="7"/>
      <c r="M25" s="110"/>
      <c r="N25" s="110"/>
      <c r="O25" s="117"/>
      <c r="P25" s="5"/>
      <c r="Q25" s="6"/>
      <c r="R25" s="4">
        <f t="shared" si="1"/>
        <v>0</v>
      </c>
    </row>
    <row r="26" spans="1:18" x14ac:dyDescent="0.3">
      <c r="A26" s="118"/>
      <c r="B26" s="110"/>
      <c r="C26" s="7"/>
      <c r="D26" s="110"/>
      <c r="E26" s="110"/>
      <c r="F26" s="117"/>
      <c r="G26" s="7"/>
      <c r="H26" s="8"/>
      <c r="I26" s="4">
        <f t="shared" si="0"/>
        <v>0</v>
      </c>
      <c r="J26" s="109"/>
      <c r="K26" s="110"/>
      <c r="L26" s="7"/>
      <c r="M26" s="110"/>
      <c r="N26" s="110"/>
      <c r="O26" s="117"/>
      <c r="P26" s="5"/>
      <c r="Q26" s="6"/>
      <c r="R26" s="4">
        <f t="shared" si="1"/>
        <v>0</v>
      </c>
    </row>
    <row r="27" spans="1:18" x14ac:dyDescent="0.3">
      <c r="A27" s="118"/>
      <c r="B27" s="110"/>
      <c r="C27" s="7"/>
      <c r="D27" s="110"/>
      <c r="E27" s="110"/>
      <c r="F27" s="117"/>
      <c r="G27" s="7"/>
      <c r="H27" s="8"/>
      <c r="I27" s="4">
        <f t="shared" si="0"/>
        <v>0</v>
      </c>
      <c r="J27" s="118"/>
      <c r="K27" s="110"/>
      <c r="L27" s="7"/>
      <c r="M27" s="110"/>
      <c r="N27" s="110"/>
      <c r="O27" s="117"/>
      <c r="P27" s="7"/>
      <c r="Q27" s="8"/>
      <c r="R27" s="4">
        <f t="shared" si="1"/>
        <v>0</v>
      </c>
    </row>
    <row r="28" spans="1:18" x14ac:dyDescent="0.3">
      <c r="A28" s="118"/>
      <c r="B28" s="110"/>
      <c r="C28" s="7"/>
      <c r="D28" s="110"/>
      <c r="E28" s="110"/>
      <c r="F28" s="117"/>
      <c r="G28" s="7"/>
      <c r="H28" s="8"/>
      <c r="I28" s="4">
        <f t="shared" si="0"/>
        <v>0</v>
      </c>
      <c r="J28" s="118"/>
      <c r="K28" s="110"/>
      <c r="L28" s="7"/>
      <c r="M28" s="110"/>
      <c r="N28" s="110"/>
      <c r="O28" s="117"/>
      <c r="P28" s="7"/>
      <c r="Q28" s="8"/>
      <c r="R28" s="4">
        <f t="shared" si="1"/>
        <v>0</v>
      </c>
    </row>
    <row r="29" spans="1:18" x14ac:dyDescent="0.3">
      <c r="A29" s="118"/>
      <c r="B29" s="110"/>
      <c r="C29" s="7"/>
      <c r="D29" s="110"/>
      <c r="E29" s="110"/>
      <c r="F29" s="117"/>
      <c r="G29" s="7"/>
      <c r="H29" s="8"/>
      <c r="I29" s="4">
        <f t="shared" si="0"/>
        <v>0</v>
      </c>
      <c r="J29" s="118"/>
      <c r="K29" s="110"/>
      <c r="L29" s="7"/>
      <c r="M29" s="110"/>
      <c r="N29" s="110"/>
      <c r="O29" s="117"/>
      <c r="P29" s="7"/>
      <c r="Q29" s="8"/>
      <c r="R29" s="4">
        <f t="shared" si="1"/>
        <v>0</v>
      </c>
    </row>
    <row r="30" spans="1:18" x14ac:dyDescent="0.3">
      <c r="A30" s="118"/>
      <c r="B30" s="110"/>
      <c r="C30" s="7"/>
      <c r="D30" s="110"/>
      <c r="E30" s="110"/>
      <c r="F30" s="117"/>
      <c r="G30" s="7"/>
      <c r="H30" s="8"/>
      <c r="I30" s="4">
        <f t="shared" si="0"/>
        <v>0</v>
      </c>
      <c r="J30" s="118"/>
      <c r="K30" s="110"/>
      <c r="L30" s="7"/>
      <c r="M30" s="110"/>
      <c r="N30" s="110"/>
      <c r="O30" s="117"/>
      <c r="P30" s="7"/>
      <c r="Q30" s="8"/>
      <c r="R30" s="4">
        <f t="shared" si="1"/>
        <v>0</v>
      </c>
    </row>
    <row r="31" spans="1:18" x14ac:dyDescent="0.3">
      <c r="A31" s="118"/>
      <c r="B31" s="110"/>
      <c r="C31" s="7"/>
      <c r="D31" s="110"/>
      <c r="E31" s="110"/>
      <c r="F31" s="117"/>
      <c r="G31" s="7"/>
      <c r="H31" s="8"/>
      <c r="I31" s="4">
        <f t="shared" si="0"/>
        <v>0</v>
      </c>
      <c r="J31" s="118"/>
      <c r="K31" s="110"/>
      <c r="L31" s="7"/>
      <c r="M31" s="110"/>
      <c r="N31" s="110"/>
      <c r="O31" s="117"/>
      <c r="P31" s="7"/>
      <c r="Q31" s="8"/>
      <c r="R31" s="4">
        <f t="shared" si="1"/>
        <v>0</v>
      </c>
    </row>
    <row r="32" spans="1:18" x14ac:dyDescent="0.3">
      <c r="A32" s="118"/>
      <c r="B32" s="110"/>
      <c r="C32" s="7"/>
      <c r="D32" s="110"/>
      <c r="E32" s="110"/>
      <c r="F32" s="117"/>
      <c r="G32" s="7"/>
      <c r="H32" s="8"/>
      <c r="I32" s="4">
        <f t="shared" si="0"/>
        <v>0</v>
      </c>
      <c r="J32" s="118"/>
      <c r="K32" s="110"/>
      <c r="L32" s="7"/>
      <c r="M32" s="110"/>
      <c r="N32" s="110"/>
      <c r="O32" s="117"/>
      <c r="P32" s="7"/>
      <c r="Q32" s="8"/>
      <c r="R32" s="4">
        <f t="shared" si="1"/>
        <v>0</v>
      </c>
    </row>
    <row r="33" spans="1:18" x14ac:dyDescent="0.3">
      <c r="A33" s="118"/>
      <c r="B33" s="110"/>
      <c r="C33" s="7"/>
      <c r="D33" s="110"/>
      <c r="E33" s="110"/>
      <c r="F33" s="117"/>
      <c r="G33" s="7"/>
      <c r="H33" s="8"/>
      <c r="I33" s="4">
        <f t="shared" si="0"/>
        <v>0</v>
      </c>
      <c r="J33" s="118"/>
      <c r="K33" s="110"/>
      <c r="L33" s="7"/>
      <c r="M33" s="110"/>
      <c r="N33" s="110"/>
      <c r="O33" s="117"/>
      <c r="P33" s="7"/>
      <c r="Q33" s="8"/>
      <c r="R33" s="4">
        <f t="shared" si="1"/>
        <v>0</v>
      </c>
    </row>
    <row r="34" spans="1:18" x14ac:dyDescent="0.3">
      <c r="A34" s="118"/>
      <c r="B34" s="110"/>
      <c r="C34" s="7"/>
      <c r="D34" s="110"/>
      <c r="E34" s="110"/>
      <c r="F34" s="117"/>
      <c r="G34" s="7"/>
      <c r="H34" s="8"/>
      <c r="I34" s="4">
        <f t="shared" si="0"/>
        <v>0</v>
      </c>
      <c r="J34" s="118"/>
      <c r="K34" s="110"/>
      <c r="L34" s="7"/>
      <c r="M34" s="110"/>
      <c r="N34" s="110"/>
      <c r="O34" s="117"/>
      <c r="P34" s="7"/>
      <c r="Q34" s="8"/>
      <c r="R34" s="4">
        <f t="shared" si="1"/>
        <v>0</v>
      </c>
    </row>
    <row r="35" spans="1:18" x14ac:dyDescent="0.3">
      <c r="A35" s="118"/>
      <c r="B35" s="110"/>
      <c r="C35" s="7"/>
      <c r="D35" s="110"/>
      <c r="E35" s="110"/>
      <c r="F35" s="117"/>
      <c r="G35" s="7"/>
      <c r="H35" s="8"/>
      <c r="I35" s="4">
        <f t="shared" si="0"/>
        <v>0</v>
      </c>
      <c r="J35" s="118"/>
      <c r="K35" s="110"/>
      <c r="L35" s="7"/>
      <c r="M35" s="110"/>
      <c r="N35" s="110"/>
      <c r="O35" s="117"/>
      <c r="P35" s="7"/>
      <c r="Q35" s="8"/>
      <c r="R35" s="4">
        <f t="shared" si="1"/>
        <v>0</v>
      </c>
    </row>
    <row r="36" spans="1:18" x14ac:dyDescent="0.3">
      <c r="A36" s="118"/>
      <c r="B36" s="110"/>
      <c r="C36" s="7"/>
      <c r="D36" s="110"/>
      <c r="E36" s="110"/>
      <c r="F36" s="117"/>
      <c r="G36" s="7"/>
      <c r="H36" s="8"/>
      <c r="I36" s="4">
        <f t="shared" si="0"/>
        <v>0</v>
      </c>
      <c r="J36" s="118"/>
      <c r="K36" s="110"/>
      <c r="L36" s="7"/>
      <c r="M36" s="110"/>
      <c r="N36" s="110"/>
      <c r="O36" s="117"/>
      <c r="P36" s="7"/>
      <c r="Q36" s="8"/>
      <c r="R36" s="4">
        <f t="shared" si="1"/>
        <v>0</v>
      </c>
    </row>
    <row r="37" spans="1:18" x14ac:dyDescent="0.3">
      <c r="A37" s="118"/>
      <c r="B37" s="110"/>
      <c r="C37" s="7"/>
      <c r="D37" s="110"/>
      <c r="E37" s="110"/>
      <c r="F37" s="117"/>
      <c r="G37" s="7"/>
      <c r="H37" s="8"/>
      <c r="I37" s="4">
        <f t="shared" si="0"/>
        <v>0</v>
      </c>
      <c r="J37" s="118"/>
      <c r="K37" s="110"/>
      <c r="L37" s="7"/>
      <c r="M37" s="110"/>
      <c r="N37" s="110"/>
      <c r="O37" s="117"/>
      <c r="P37" s="7"/>
      <c r="Q37" s="8"/>
      <c r="R37" s="4">
        <f t="shared" si="1"/>
        <v>0</v>
      </c>
    </row>
    <row r="38" spans="1:18" x14ac:dyDescent="0.3">
      <c r="A38" s="118"/>
      <c r="B38" s="110"/>
      <c r="C38" s="7"/>
      <c r="D38" s="110"/>
      <c r="E38" s="110"/>
      <c r="F38" s="117"/>
      <c r="G38" s="7"/>
      <c r="H38" s="8"/>
      <c r="I38" s="4">
        <f t="shared" si="0"/>
        <v>0</v>
      </c>
      <c r="J38" s="118"/>
      <c r="K38" s="110"/>
      <c r="L38" s="7"/>
      <c r="M38" s="110"/>
      <c r="N38" s="110"/>
      <c r="O38" s="117"/>
      <c r="P38" s="7"/>
      <c r="Q38" s="8"/>
      <c r="R38" s="4">
        <f t="shared" si="1"/>
        <v>0</v>
      </c>
    </row>
    <row r="39" spans="1:18" x14ac:dyDescent="0.3">
      <c r="A39" s="118"/>
      <c r="B39" s="110"/>
      <c r="C39" s="7"/>
      <c r="D39" s="110"/>
      <c r="E39" s="110"/>
      <c r="F39" s="117"/>
      <c r="G39" s="7"/>
      <c r="H39" s="8"/>
      <c r="I39" s="4">
        <f t="shared" si="0"/>
        <v>0</v>
      </c>
      <c r="J39" s="118"/>
      <c r="K39" s="110"/>
      <c r="L39" s="7"/>
      <c r="M39" s="110"/>
      <c r="N39" s="110"/>
      <c r="O39" s="117"/>
      <c r="P39" s="7"/>
      <c r="Q39" s="8"/>
      <c r="R39" s="4">
        <f t="shared" si="1"/>
        <v>0</v>
      </c>
    </row>
    <row r="40" spans="1:18" x14ac:dyDescent="0.3">
      <c r="A40" s="119"/>
      <c r="B40" s="120"/>
      <c r="C40" s="7"/>
      <c r="D40" s="110"/>
      <c r="E40" s="110"/>
      <c r="F40" s="117"/>
      <c r="G40" s="9"/>
      <c r="H40" s="1"/>
      <c r="I40" s="4">
        <f>H40-G40</f>
        <v>0</v>
      </c>
      <c r="J40" s="118"/>
      <c r="K40" s="110"/>
      <c r="L40" s="7"/>
      <c r="M40" s="110"/>
      <c r="N40" s="110"/>
      <c r="O40" s="117"/>
      <c r="P40" s="7"/>
      <c r="Q40" s="8"/>
      <c r="R40" s="4">
        <f t="shared" si="1"/>
        <v>0</v>
      </c>
    </row>
    <row r="41" spans="1:18" x14ac:dyDescent="0.3">
      <c r="A41" s="118"/>
      <c r="B41" s="110"/>
      <c r="C41" s="7"/>
      <c r="D41" s="110"/>
      <c r="E41" s="110"/>
      <c r="F41" s="117"/>
      <c r="G41" s="7"/>
      <c r="H41" s="8"/>
      <c r="I41" s="4">
        <f t="shared" si="0"/>
        <v>0</v>
      </c>
      <c r="J41" s="119"/>
      <c r="K41" s="120"/>
      <c r="L41" s="7"/>
      <c r="M41" s="110"/>
      <c r="N41" s="110"/>
      <c r="O41" s="117"/>
      <c r="P41" s="9"/>
      <c r="Q41" s="1"/>
      <c r="R41" s="4">
        <f>Q41-P41</f>
        <v>0</v>
      </c>
    </row>
    <row r="42" spans="1:18" x14ac:dyDescent="0.3">
      <c r="A42" s="118"/>
      <c r="B42" s="110"/>
      <c r="C42" s="7"/>
      <c r="D42" s="110"/>
      <c r="E42" s="110"/>
      <c r="F42" s="117"/>
      <c r="G42" s="7"/>
      <c r="H42" s="8"/>
      <c r="I42" s="4">
        <f t="shared" si="0"/>
        <v>0</v>
      </c>
      <c r="J42" s="118"/>
      <c r="K42" s="110"/>
      <c r="L42" s="7"/>
      <c r="M42" s="110"/>
      <c r="N42" s="110"/>
      <c r="O42" s="117"/>
      <c r="P42" s="7"/>
      <c r="Q42" s="8"/>
      <c r="R42" s="4">
        <f t="shared" ref="R42:R49" si="2">Q42-P42</f>
        <v>0</v>
      </c>
    </row>
    <row r="43" spans="1:18" x14ac:dyDescent="0.3">
      <c r="A43" s="118"/>
      <c r="B43" s="110"/>
      <c r="C43" s="7"/>
      <c r="D43" s="110"/>
      <c r="E43" s="110"/>
      <c r="F43" s="117"/>
      <c r="G43" s="7"/>
      <c r="H43" s="8"/>
      <c r="I43" s="4">
        <f t="shared" si="0"/>
        <v>0</v>
      </c>
      <c r="J43" s="118"/>
      <c r="K43" s="110"/>
      <c r="L43" s="7"/>
      <c r="M43" s="110"/>
      <c r="N43" s="110"/>
      <c r="O43" s="117"/>
      <c r="P43" s="7"/>
      <c r="Q43" s="8"/>
      <c r="R43" s="4">
        <f t="shared" si="2"/>
        <v>0</v>
      </c>
    </row>
    <row r="44" spans="1:18" x14ac:dyDescent="0.3">
      <c r="A44" s="118"/>
      <c r="B44" s="110"/>
      <c r="C44" s="7"/>
      <c r="D44" s="110"/>
      <c r="E44" s="110"/>
      <c r="F44" s="117"/>
      <c r="G44" s="7"/>
      <c r="H44" s="8"/>
      <c r="I44" s="4">
        <f t="shared" si="0"/>
        <v>0</v>
      </c>
      <c r="J44" s="118"/>
      <c r="K44" s="110"/>
      <c r="L44" s="7"/>
      <c r="M44" s="110"/>
      <c r="N44" s="110"/>
      <c r="O44" s="117"/>
      <c r="P44" s="7"/>
      <c r="Q44" s="8"/>
      <c r="R44" s="4">
        <f t="shared" si="2"/>
        <v>0</v>
      </c>
    </row>
    <row r="45" spans="1:18" x14ac:dyDescent="0.3">
      <c r="A45" s="118"/>
      <c r="B45" s="110"/>
      <c r="C45" s="7"/>
      <c r="D45" s="110"/>
      <c r="E45" s="110"/>
      <c r="F45" s="117"/>
      <c r="G45" s="7"/>
      <c r="H45" s="8"/>
      <c r="I45" s="4">
        <f t="shared" si="0"/>
        <v>0</v>
      </c>
      <c r="J45" s="118"/>
      <c r="K45" s="110"/>
      <c r="L45" s="7"/>
      <c r="M45" s="110"/>
      <c r="N45" s="110"/>
      <c r="O45" s="117"/>
      <c r="P45" s="7"/>
      <c r="Q45" s="8"/>
      <c r="R45" s="4">
        <f t="shared" si="2"/>
        <v>0</v>
      </c>
    </row>
    <row r="46" spans="1:18" x14ac:dyDescent="0.3">
      <c r="A46" s="118"/>
      <c r="B46" s="110"/>
      <c r="C46" s="7"/>
      <c r="D46" s="110"/>
      <c r="E46" s="110"/>
      <c r="F46" s="117"/>
      <c r="G46" s="7"/>
      <c r="H46" s="8"/>
      <c r="I46" s="4">
        <f t="shared" si="0"/>
        <v>0</v>
      </c>
      <c r="J46" s="118"/>
      <c r="K46" s="110"/>
      <c r="L46" s="7"/>
      <c r="M46" s="110"/>
      <c r="N46" s="110"/>
      <c r="O46" s="117"/>
      <c r="P46" s="7"/>
      <c r="Q46" s="8"/>
      <c r="R46" s="4">
        <f t="shared" si="2"/>
        <v>0</v>
      </c>
    </row>
    <row r="47" spans="1:18" x14ac:dyDescent="0.3">
      <c r="A47" s="118"/>
      <c r="B47" s="110"/>
      <c r="C47" s="7"/>
      <c r="D47" s="110"/>
      <c r="E47" s="110"/>
      <c r="F47" s="117"/>
      <c r="G47" s="7"/>
      <c r="H47" s="8"/>
      <c r="I47" s="4">
        <f t="shared" si="0"/>
        <v>0</v>
      </c>
      <c r="J47" s="118"/>
      <c r="K47" s="110"/>
      <c r="L47" s="7"/>
      <c r="M47" s="110"/>
      <c r="N47" s="110"/>
      <c r="O47" s="117"/>
      <c r="P47" s="7"/>
      <c r="Q47" s="8"/>
      <c r="R47" s="4">
        <f t="shared" si="2"/>
        <v>0</v>
      </c>
    </row>
    <row r="48" spans="1:18" x14ac:dyDescent="0.3">
      <c r="A48" s="118"/>
      <c r="B48" s="110"/>
      <c r="C48" s="7"/>
      <c r="D48" s="110"/>
      <c r="E48" s="110"/>
      <c r="F48" s="117"/>
      <c r="G48" s="7"/>
      <c r="H48" s="8"/>
      <c r="I48" s="4">
        <f t="shared" si="0"/>
        <v>0</v>
      </c>
      <c r="J48" s="118"/>
      <c r="K48" s="110"/>
      <c r="L48" s="7"/>
      <c r="M48" s="110"/>
      <c r="N48" s="110"/>
      <c r="O48" s="117"/>
      <c r="P48" s="7"/>
      <c r="Q48" s="8"/>
      <c r="R48" s="4">
        <f t="shared" si="2"/>
        <v>0</v>
      </c>
    </row>
    <row r="49" spans="1:18" ht="15" thickBot="1" x14ac:dyDescent="0.35">
      <c r="A49" s="75"/>
      <c r="B49" s="76"/>
      <c r="C49" s="10"/>
      <c r="D49" s="110"/>
      <c r="E49" s="110"/>
      <c r="F49" s="117"/>
      <c r="G49" s="10"/>
      <c r="H49" s="11"/>
      <c r="I49" s="12">
        <f t="shared" si="0"/>
        <v>0</v>
      </c>
      <c r="J49" s="118"/>
      <c r="K49" s="110"/>
      <c r="L49" s="10"/>
      <c r="M49" s="110"/>
      <c r="N49" s="110"/>
      <c r="O49" s="117"/>
      <c r="P49" s="7"/>
      <c r="Q49" s="8"/>
      <c r="R49" s="4">
        <f t="shared" si="2"/>
        <v>0</v>
      </c>
    </row>
    <row r="50" spans="1:18" ht="15" thickBot="1" x14ac:dyDescent="0.35">
      <c r="A50" s="121"/>
      <c r="B50" s="122"/>
      <c r="C50" s="16"/>
      <c r="D50" s="123"/>
      <c r="E50" s="123"/>
      <c r="F50" s="122"/>
      <c r="G50" s="124" t="s">
        <v>38</v>
      </c>
      <c r="H50" s="122"/>
      <c r="I50" s="13">
        <f>SUM(I12:I49)</f>
        <v>0.51388888888888884</v>
      </c>
      <c r="J50" s="121"/>
      <c r="K50" s="122"/>
      <c r="L50" s="16"/>
      <c r="M50" s="123"/>
      <c r="N50" s="123"/>
      <c r="O50" s="122"/>
      <c r="P50" s="124" t="s">
        <v>38</v>
      </c>
      <c r="Q50" s="122"/>
      <c r="R50" s="13">
        <f>SUM(R12:R49)</f>
        <v>0.46527777777777773</v>
      </c>
    </row>
    <row r="51" spans="1:18" ht="15" thickTop="1" x14ac:dyDescent="0.3"/>
  </sheetData>
  <mergeCells count="189">
    <mergeCell ref="L4:R4"/>
    <mergeCell ref="A5:B5"/>
    <mergeCell ref="C5:I5"/>
    <mergeCell ref="J5:K5"/>
    <mergeCell ref="L5:R5"/>
    <mergeCell ref="A6:I6"/>
    <mergeCell ref="J6:R6"/>
    <mergeCell ref="A1:R2"/>
    <mergeCell ref="S1:W2"/>
    <mergeCell ref="A3:B3"/>
    <mergeCell ref="C3:I3"/>
    <mergeCell ref="J3:K3"/>
    <mergeCell ref="L3:R3"/>
    <mergeCell ref="S3:W11"/>
    <mergeCell ref="A4:B4"/>
    <mergeCell ref="C4:I4"/>
    <mergeCell ref="J4:K4"/>
    <mergeCell ref="M7:O11"/>
    <mergeCell ref="P7:R7"/>
    <mergeCell ref="G8:G11"/>
    <mergeCell ref="H8:H11"/>
    <mergeCell ref="I8:I11"/>
    <mergeCell ref="P8:P11"/>
    <mergeCell ref="Q8:Q11"/>
    <mergeCell ref="R8:R11"/>
    <mergeCell ref="A7:B11"/>
    <mergeCell ref="C7:C11"/>
    <mergeCell ref="D7:F11"/>
    <mergeCell ref="G7:I7"/>
    <mergeCell ref="J7:K11"/>
    <mergeCell ref="L7:L11"/>
    <mergeCell ref="A14:B14"/>
    <mergeCell ref="D14:F14"/>
    <mergeCell ref="J14:K14"/>
    <mergeCell ref="M14:O14"/>
    <mergeCell ref="A15:B15"/>
    <mergeCell ref="D15:F15"/>
    <mergeCell ref="J15:K15"/>
    <mergeCell ref="M15:O15"/>
    <mergeCell ref="A12:B12"/>
    <mergeCell ref="D12:F12"/>
    <mergeCell ref="J12:K12"/>
    <mergeCell ref="M12:O12"/>
    <mergeCell ref="A13:B13"/>
    <mergeCell ref="D13:F13"/>
    <mergeCell ref="J13:K13"/>
    <mergeCell ref="M13:O13"/>
    <mergeCell ref="A18:B18"/>
    <mergeCell ref="D18:F18"/>
    <mergeCell ref="J18:K18"/>
    <mergeCell ref="M18:O18"/>
    <mergeCell ref="A19:B19"/>
    <mergeCell ref="D19:F19"/>
    <mergeCell ref="J19:K19"/>
    <mergeCell ref="M19:O19"/>
    <mergeCell ref="A16:B16"/>
    <mergeCell ref="D16:F16"/>
    <mergeCell ref="J16:K16"/>
    <mergeCell ref="M16:O16"/>
    <mergeCell ref="A17:B17"/>
    <mergeCell ref="D17:F17"/>
    <mergeCell ref="J17:K17"/>
    <mergeCell ref="M17:O17"/>
    <mergeCell ref="A22:B22"/>
    <mergeCell ref="D22:F22"/>
    <mergeCell ref="J22:K22"/>
    <mergeCell ref="M22:O22"/>
    <mergeCell ref="A23:B23"/>
    <mergeCell ref="D23:F23"/>
    <mergeCell ref="J23:K23"/>
    <mergeCell ref="M23:O23"/>
    <mergeCell ref="A20:B20"/>
    <mergeCell ref="D20:F20"/>
    <mergeCell ref="J20:K20"/>
    <mergeCell ref="M20:O20"/>
    <mergeCell ref="A21:B21"/>
    <mergeCell ref="D21:F21"/>
    <mergeCell ref="J21:K21"/>
    <mergeCell ref="M21:O21"/>
    <mergeCell ref="A26:B26"/>
    <mergeCell ref="D26:F26"/>
    <mergeCell ref="J26:K26"/>
    <mergeCell ref="M26:O26"/>
    <mergeCell ref="A27:B27"/>
    <mergeCell ref="D27:F27"/>
    <mergeCell ref="J27:K27"/>
    <mergeCell ref="M27:O27"/>
    <mergeCell ref="A24:B24"/>
    <mergeCell ref="D24:F24"/>
    <mergeCell ref="J24:K24"/>
    <mergeCell ref="M24:O24"/>
    <mergeCell ref="A25:B25"/>
    <mergeCell ref="D25:F25"/>
    <mergeCell ref="J25:K25"/>
    <mergeCell ref="M25:O25"/>
    <mergeCell ref="A30:B30"/>
    <mergeCell ref="D30:F30"/>
    <mergeCell ref="J30:K30"/>
    <mergeCell ref="M30:O30"/>
    <mergeCell ref="A31:B31"/>
    <mergeCell ref="D31:F31"/>
    <mergeCell ref="J31:K31"/>
    <mergeCell ref="M31:O31"/>
    <mergeCell ref="A28:B28"/>
    <mergeCell ref="D28:F28"/>
    <mergeCell ref="J28:K28"/>
    <mergeCell ref="M28:O28"/>
    <mergeCell ref="A29:B29"/>
    <mergeCell ref="D29:F29"/>
    <mergeCell ref="J29:K29"/>
    <mergeCell ref="M29:O29"/>
    <mergeCell ref="A34:B34"/>
    <mergeCell ref="D34:F34"/>
    <mergeCell ref="J34:K34"/>
    <mergeCell ref="M34:O34"/>
    <mergeCell ref="A35:B35"/>
    <mergeCell ref="D35:F35"/>
    <mergeCell ref="J35:K35"/>
    <mergeCell ref="M35:O35"/>
    <mergeCell ref="A32:B32"/>
    <mergeCell ref="D32:F32"/>
    <mergeCell ref="J32:K32"/>
    <mergeCell ref="M32:O32"/>
    <mergeCell ref="A33:B33"/>
    <mergeCell ref="D33:F33"/>
    <mergeCell ref="J33:K33"/>
    <mergeCell ref="M33:O33"/>
    <mergeCell ref="A38:B38"/>
    <mergeCell ref="D38:F38"/>
    <mergeCell ref="J38:K38"/>
    <mergeCell ref="M38:O38"/>
    <mergeCell ref="A39:B39"/>
    <mergeCell ref="D39:F39"/>
    <mergeCell ref="J39:K39"/>
    <mergeCell ref="M39:O39"/>
    <mergeCell ref="A36:B36"/>
    <mergeCell ref="D36:F36"/>
    <mergeCell ref="J36:K36"/>
    <mergeCell ref="M36:O36"/>
    <mergeCell ref="A37:B37"/>
    <mergeCell ref="D37:F37"/>
    <mergeCell ref="J37:K37"/>
    <mergeCell ref="M37:O37"/>
    <mergeCell ref="A42:B42"/>
    <mergeCell ref="D42:F42"/>
    <mergeCell ref="J42:K42"/>
    <mergeCell ref="M42:O42"/>
    <mergeCell ref="A43:B43"/>
    <mergeCell ref="D43:F43"/>
    <mergeCell ref="J43:K43"/>
    <mergeCell ref="M43:O43"/>
    <mergeCell ref="A40:B40"/>
    <mergeCell ref="D40:F40"/>
    <mergeCell ref="J40:K40"/>
    <mergeCell ref="M40:O40"/>
    <mergeCell ref="A41:B41"/>
    <mergeCell ref="D41:F41"/>
    <mergeCell ref="J41:K41"/>
    <mergeCell ref="M41:O41"/>
    <mergeCell ref="A46:B46"/>
    <mergeCell ref="D46:F46"/>
    <mergeCell ref="J46:K46"/>
    <mergeCell ref="M46:O46"/>
    <mergeCell ref="A47:B47"/>
    <mergeCell ref="D47:F47"/>
    <mergeCell ref="J47:K47"/>
    <mergeCell ref="M47:O47"/>
    <mergeCell ref="A44:B44"/>
    <mergeCell ref="D44:F44"/>
    <mergeCell ref="J44:K44"/>
    <mergeCell ref="M44:O44"/>
    <mergeCell ref="A45:B45"/>
    <mergeCell ref="D45:F45"/>
    <mergeCell ref="J45:K45"/>
    <mergeCell ref="M45:O45"/>
    <mergeCell ref="A50:B50"/>
    <mergeCell ref="D50:F50"/>
    <mergeCell ref="G50:H50"/>
    <mergeCell ref="J50:K50"/>
    <mergeCell ref="M50:O50"/>
    <mergeCell ref="P50:Q50"/>
    <mergeCell ref="A48:B48"/>
    <mergeCell ref="D48:F48"/>
    <mergeCell ref="J48:K48"/>
    <mergeCell ref="M48:O48"/>
    <mergeCell ref="A49:B49"/>
    <mergeCell ref="D49:F49"/>
    <mergeCell ref="J49:K49"/>
    <mergeCell ref="M49:O49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Übersich_DATA</vt:lpstr>
      <vt:lpstr>Sprint_DATA</vt:lpstr>
      <vt:lpstr>Übersicht</vt:lpstr>
      <vt:lpstr>Funktionen</vt:lpstr>
      <vt:lpstr>Sprint 1</vt:lpstr>
      <vt:lpstr>Sprint 2</vt:lpstr>
      <vt:lpstr>Sprint 3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Antonio Peric</dc:creator>
  <cp:keywords/>
  <dc:description/>
  <cp:lastModifiedBy>Antonio Peric</cp:lastModifiedBy>
  <cp:revision/>
  <dcterms:created xsi:type="dcterms:W3CDTF">2015-06-05T18:19:34Z</dcterms:created>
  <dcterms:modified xsi:type="dcterms:W3CDTF">2022-12-13T12:45:03Z</dcterms:modified>
  <cp:category/>
  <cp:contentStatus/>
</cp:coreProperties>
</file>