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425" documentId="8_{A5FEF908-94BE-4837-AFB5-4CA2E183B708}" xr6:coauthVersionLast="47" xr6:coauthVersionMax="47" xr10:uidLastSave="{06724F09-DA9C-4F02-BA6B-3E7000F7773D}"/>
  <bookViews>
    <workbookView xWindow="-108" yWindow="-108" windowWidth="23256" windowHeight="13176" activeTab="3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7" l="1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R50" i="3" l="1"/>
  <c r="I50" i="3"/>
  <c r="A4" i="7" l="1"/>
</calcChain>
</file>

<file path=xl/sharedStrings.xml><?xml version="1.0" encoding="utf-8"?>
<sst xmlns="http://schemas.openxmlformats.org/spreadsheetml/2006/main" count="96" uniqueCount="48">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</sst>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5" fillId="2" borderId="63" xfId="2" applyNumberFormat="1" applyBorder="1" applyAlignment="1">
      <alignment horizontal="center"/>
    </xf>
    <xf numFmtId="164" fontId="5" fillId="2" borderId="64" xfId="2" applyNumberFormat="1" applyBorder="1" applyAlignment="1">
      <alignment horizontal="center"/>
    </xf>
    <xf numFmtId="164" fontId="5" fillId="2" borderId="65" xfId="2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5" fillId="2" borderId="22" xfId="2" applyNumberFormat="1" applyBorder="1" applyAlignment="1">
      <alignment horizontal="center"/>
    </xf>
    <xf numFmtId="164" fontId="5" fillId="2" borderId="23" xfId="2" applyNumberFormat="1" applyBorder="1" applyAlignment="1">
      <alignment horizontal="center"/>
    </xf>
    <xf numFmtId="164" fontId="5" fillId="2" borderId="24" xfId="2" applyNumberForma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5" fillId="2" borderId="25" xfId="2" applyNumberFormat="1" applyBorder="1" applyAlignment="1">
      <alignment horizontal="center"/>
    </xf>
    <xf numFmtId="164" fontId="5" fillId="2" borderId="26" xfId="2" applyNumberFormat="1" applyBorder="1" applyAlignment="1">
      <alignment horizontal="center"/>
    </xf>
    <xf numFmtId="164" fontId="5" fillId="2" borderId="27" xfId="2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defaultRowHeight="14.4" x14ac:dyDescent="0.3"/>
  <sheetData>
    <row r="1" spans="1:9" x14ac:dyDescent="0.3">
      <c r="A1" s="21"/>
      <c r="B1" s="22"/>
      <c r="C1" s="22"/>
      <c r="D1" s="22"/>
      <c r="E1" s="22"/>
      <c r="F1" s="22"/>
      <c r="G1" s="22"/>
      <c r="H1" s="22"/>
      <c r="I1" s="23"/>
    </row>
    <row r="2" spans="1:9" ht="15" thickBot="1" x14ac:dyDescent="0.35">
      <c r="A2" s="24"/>
      <c r="B2" s="25"/>
      <c r="C2" s="25"/>
      <c r="D2" s="25"/>
      <c r="E2" s="25"/>
      <c r="F2" s="25"/>
      <c r="G2" s="25"/>
      <c r="H2" s="25"/>
      <c r="I2" s="26"/>
    </row>
    <row r="3" spans="1:9" ht="15" thickBot="1" x14ac:dyDescent="0.35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5.6" thickTop="1" thickBot="1" x14ac:dyDescent="0.35">
      <c r="A4" s="30">
        <f>D9+D12</f>
        <v>1.566666666666666</v>
      </c>
      <c r="B4" s="31"/>
      <c r="C4" s="31"/>
      <c r="D4" s="31"/>
      <c r="E4" s="31"/>
      <c r="F4" s="31"/>
      <c r="G4" s="31"/>
      <c r="H4" s="31"/>
      <c r="I4" s="32"/>
    </row>
    <row r="5" spans="1:9" ht="15" thickBot="1" x14ac:dyDescent="0.35">
      <c r="A5" s="33"/>
      <c r="B5" s="34"/>
      <c r="C5" s="34"/>
      <c r="D5" s="34"/>
      <c r="E5" s="34"/>
      <c r="F5" s="34"/>
      <c r="G5" s="34"/>
      <c r="H5" s="34"/>
      <c r="I5" s="35"/>
    </row>
    <row r="6" spans="1:9" ht="15" thickBot="1" x14ac:dyDescent="0.35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5" thickTop="1" x14ac:dyDescent="0.3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3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3">
      <c r="A9" s="42" t="s">
        <v>4</v>
      </c>
      <c r="B9" s="43"/>
      <c r="C9" s="44"/>
      <c r="D9" s="45">
        <f>'Sprint 1'!I50</f>
        <v>0.87777777777777743</v>
      </c>
      <c r="E9" s="46"/>
      <c r="F9" s="46"/>
      <c r="G9" s="46"/>
      <c r="H9" s="46"/>
      <c r="I9" s="47"/>
    </row>
    <row r="10" spans="1:9" ht="15" thickBot="1" x14ac:dyDescent="0.3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3">
      <c r="A11" s="51" t="s">
        <v>2</v>
      </c>
      <c r="B11" s="52"/>
      <c r="C11" s="53"/>
      <c r="D11" s="54" t="s">
        <v>5</v>
      </c>
      <c r="E11" s="55"/>
      <c r="F11" s="55"/>
      <c r="G11" s="55"/>
      <c r="H11" s="55"/>
      <c r="I11" s="56"/>
    </row>
    <row r="12" spans="1:9" ht="15" thickBot="1" x14ac:dyDescent="0.35">
      <c r="A12" s="57" t="s">
        <v>4</v>
      </c>
      <c r="B12" s="58"/>
      <c r="C12" s="59"/>
      <c r="D12" s="60">
        <f>'Sprint 1'!R50</f>
        <v>0.68888888888888866</v>
      </c>
      <c r="E12" s="61"/>
      <c r="F12" s="61"/>
      <c r="G12" s="61"/>
      <c r="H12" s="61"/>
      <c r="I12" s="62"/>
    </row>
    <row r="13" spans="1:9" x14ac:dyDescent="0.3">
      <c r="A13" s="63"/>
      <c r="B13" s="63"/>
      <c r="C13" s="63"/>
      <c r="D13" s="63"/>
      <c r="E13" s="63"/>
      <c r="F13" s="63"/>
      <c r="G13" s="63"/>
      <c r="H13" s="63"/>
      <c r="I13" s="63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workbookViewId="0">
      <selection activeCell="T20" sqref="T20"/>
    </sheetView>
  </sheetViews>
  <sheetFormatPr defaultRowHeight="14.4" x14ac:dyDescent="0.3"/>
  <cols>
    <col min="4" max="6" width="8.88671875" style="15"/>
  </cols>
  <sheetData>
    <row r="1" spans="1:23" x14ac:dyDescent="0.3">
      <c r="A1" s="73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" thickBot="1" x14ac:dyDescent="0.3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" thickTop="1" x14ac:dyDescent="0.3">
      <c r="A3" s="76" t="s">
        <v>6</v>
      </c>
      <c r="B3" s="77"/>
      <c r="C3" s="78"/>
      <c r="D3" s="79"/>
      <c r="E3" s="79"/>
      <c r="F3" s="79"/>
      <c r="G3" s="79"/>
      <c r="H3" s="79"/>
      <c r="I3" s="80"/>
      <c r="J3" s="76" t="s">
        <v>6</v>
      </c>
      <c r="K3" s="77"/>
      <c r="L3" s="78"/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3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3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" thickBot="1" x14ac:dyDescent="0.3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" thickBot="1" x14ac:dyDescent="0.3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" thickTop="1" x14ac:dyDescent="0.3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3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3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" thickBot="1" x14ac:dyDescent="0.3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3">
      <c r="A12" s="107"/>
      <c r="B12" s="108"/>
      <c r="C12" s="14"/>
      <c r="D12" s="109"/>
      <c r="E12" s="109"/>
      <c r="F12" s="110"/>
      <c r="G12" s="2"/>
      <c r="H12" s="3"/>
      <c r="I12" s="4">
        <f>H12-G12</f>
        <v>0</v>
      </c>
      <c r="J12" s="107"/>
      <c r="K12" s="108"/>
      <c r="L12" s="14"/>
      <c r="M12" s="64"/>
      <c r="N12" s="64"/>
      <c r="O12" s="106"/>
      <c r="P12" s="2"/>
      <c r="Q12" s="3"/>
      <c r="R12" s="4">
        <f>Q12-P12</f>
        <v>0</v>
      </c>
    </row>
    <row r="13" spans="1:23" x14ac:dyDescent="0.3">
      <c r="A13" s="104"/>
      <c r="B13" s="105"/>
      <c r="C13" s="7"/>
      <c r="D13" s="64"/>
      <c r="E13" s="64"/>
      <c r="F13" s="106"/>
      <c r="G13" s="5"/>
      <c r="H13" s="6"/>
      <c r="I13" s="4">
        <f>H13-G13</f>
        <v>0</v>
      </c>
      <c r="J13" s="104"/>
      <c r="K13" s="105"/>
      <c r="L13" s="7"/>
      <c r="M13" s="64"/>
      <c r="N13" s="64"/>
      <c r="O13" s="106"/>
      <c r="P13" s="5"/>
      <c r="Q13" s="6"/>
      <c r="R13" s="4">
        <f>Q13-P13</f>
        <v>0</v>
      </c>
    </row>
    <row r="14" spans="1:23" x14ac:dyDescent="0.3">
      <c r="A14" s="104"/>
      <c r="B14" s="105"/>
      <c r="C14" s="7"/>
      <c r="D14" s="64"/>
      <c r="E14" s="64"/>
      <c r="F14" s="106"/>
      <c r="G14" s="5"/>
      <c r="H14" s="6"/>
      <c r="I14" s="4">
        <f t="shared" ref="I14:I49" si="0">H14-G14</f>
        <v>0</v>
      </c>
      <c r="J14" s="104"/>
      <c r="K14" s="105"/>
      <c r="L14" s="17"/>
      <c r="M14" s="64"/>
      <c r="N14" s="64"/>
      <c r="O14" s="106"/>
      <c r="P14" s="5"/>
      <c r="Q14" s="6"/>
      <c r="R14" s="4">
        <f t="shared" ref="R14:R40" si="1">Q14-P14</f>
        <v>0</v>
      </c>
    </row>
    <row r="15" spans="1:23" x14ac:dyDescent="0.3">
      <c r="A15" s="104"/>
      <c r="B15" s="105"/>
      <c r="C15" s="7"/>
      <c r="D15" s="64"/>
      <c r="E15" s="64"/>
      <c r="F15" s="106"/>
      <c r="G15" s="5"/>
      <c r="H15" s="6"/>
      <c r="I15" s="4">
        <f t="shared" si="0"/>
        <v>0</v>
      </c>
      <c r="J15" s="104"/>
      <c r="K15" s="105"/>
      <c r="L15" s="7"/>
      <c r="M15" s="64"/>
      <c r="N15" s="64"/>
      <c r="O15" s="106"/>
      <c r="P15" s="5"/>
      <c r="Q15" s="6"/>
      <c r="R15" s="4">
        <f t="shared" si="1"/>
        <v>0</v>
      </c>
    </row>
    <row r="16" spans="1:23" x14ac:dyDescent="0.3">
      <c r="A16" s="104"/>
      <c r="B16" s="105"/>
      <c r="C16" s="7"/>
      <c r="D16" s="64"/>
      <c r="E16" s="64"/>
      <c r="F16" s="106"/>
      <c r="G16" s="5"/>
      <c r="H16" s="6"/>
      <c r="I16" s="4">
        <f t="shared" si="0"/>
        <v>0</v>
      </c>
      <c r="J16" s="104"/>
      <c r="K16" s="111"/>
      <c r="L16" s="7"/>
      <c r="M16" s="64"/>
      <c r="N16" s="64"/>
      <c r="O16" s="106"/>
      <c r="P16" s="5"/>
      <c r="Q16" s="6"/>
      <c r="R16" s="4">
        <f>Q16-P16</f>
        <v>0</v>
      </c>
    </row>
    <row r="17" spans="1:18" x14ac:dyDescent="0.3">
      <c r="A17" s="104"/>
      <c r="B17" s="105"/>
      <c r="C17" s="7"/>
      <c r="D17" s="64"/>
      <c r="E17" s="64"/>
      <c r="F17" s="106"/>
      <c r="G17" s="5"/>
      <c r="H17" s="6"/>
      <c r="I17" s="4">
        <f t="shared" si="0"/>
        <v>0</v>
      </c>
      <c r="J17" s="104"/>
      <c r="K17" s="105"/>
      <c r="L17" s="7"/>
      <c r="M17" s="64"/>
      <c r="N17" s="64"/>
      <c r="O17" s="106"/>
      <c r="P17" s="5"/>
      <c r="Q17" s="6"/>
      <c r="R17" s="4">
        <f t="shared" si="1"/>
        <v>0</v>
      </c>
    </row>
    <row r="18" spans="1:18" x14ac:dyDescent="0.3">
      <c r="A18" s="104"/>
      <c r="B18" s="105"/>
      <c r="C18" s="7"/>
      <c r="D18" s="64"/>
      <c r="E18" s="64"/>
      <c r="F18" s="106"/>
      <c r="G18" s="5"/>
      <c r="H18" s="6"/>
      <c r="I18" s="4">
        <f t="shared" si="0"/>
        <v>0</v>
      </c>
      <c r="J18" s="104"/>
      <c r="K18" s="105"/>
      <c r="L18" s="7"/>
      <c r="M18" s="64"/>
      <c r="N18" s="64"/>
      <c r="O18" s="106"/>
      <c r="P18" s="5"/>
      <c r="Q18" s="6"/>
      <c r="R18" s="4">
        <f t="shared" si="1"/>
        <v>0</v>
      </c>
    </row>
    <row r="19" spans="1:18" x14ac:dyDescent="0.3">
      <c r="A19" s="104"/>
      <c r="B19" s="105"/>
      <c r="C19" s="7"/>
      <c r="D19" s="64"/>
      <c r="E19" s="64"/>
      <c r="F19" s="106"/>
      <c r="G19" s="5"/>
      <c r="H19" s="6"/>
      <c r="I19" s="4">
        <f t="shared" si="0"/>
        <v>0</v>
      </c>
      <c r="J19" s="104"/>
      <c r="K19" s="105"/>
      <c r="L19" s="7"/>
      <c r="M19" s="64"/>
      <c r="N19" s="64"/>
      <c r="O19" s="106"/>
      <c r="P19" s="5"/>
      <c r="Q19" s="6"/>
      <c r="R19" s="4">
        <f>Q19-P19</f>
        <v>0</v>
      </c>
    </row>
    <row r="20" spans="1:18" x14ac:dyDescent="0.3">
      <c r="A20" s="104"/>
      <c r="B20" s="105"/>
      <c r="C20" s="7"/>
      <c r="D20" s="64"/>
      <c r="E20" s="64"/>
      <c r="F20" s="106"/>
      <c r="G20" s="5"/>
      <c r="H20" s="6"/>
      <c r="I20" s="4">
        <f t="shared" si="0"/>
        <v>0</v>
      </c>
      <c r="J20" s="104"/>
      <c r="K20" s="105"/>
      <c r="L20" s="7"/>
      <c r="M20" s="64"/>
      <c r="N20" s="64"/>
      <c r="O20" s="106"/>
      <c r="P20" s="5"/>
      <c r="Q20" s="6"/>
      <c r="R20" s="4">
        <f t="shared" si="1"/>
        <v>0</v>
      </c>
    </row>
    <row r="21" spans="1:18" x14ac:dyDescent="0.3">
      <c r="A21" s="104"/>
      <c r="B21" s="105"/>
      <c r="C21" s="7"/>
      <c r="D21" s="64"/>
      <c r="E21" s="64"/>
      <c r="F21" s="106"/>
      <c r="G21" s="5"/>
      <c r="H21" s="6"/>
      <c r="I21" s="4">
        <f t="shared" si="0"/>
        <v>0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3">
      <c r="A22" s="104"/>
      <c r="B22" s="105"/>
      <c r="C22" s="7"/>
      <c r="D22" s="105"/>
      <c r="E22" s="105"/>
      <c r="F22" s="112"/>
      <c r="G22" s="5"/>
      <c r="H22" s="6"/>
      <c r="I22" s="4">
        <f t="shared" si="0"/>
        <v>0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3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3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3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3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3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3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3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3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3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3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3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3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3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3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3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3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3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3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3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3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3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3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3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3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3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3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" thickBot="1" x14ac:dyDescent="0.3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" thickBot="1" x14ac:dyDescent="0.3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A158"/>
  <sheetViews>
    <sheetView zoomScaleNormal="100" workbookViewId="0">
      <selection activeCell="N9" sqref="N9"/>
    </sheetView>
  </sheetViews>
  <sheetFormatPr defaultRowHeight="14.4" x14ac:dyDescent="0.3"/>
  <sheetData>
    <row r="1" ht="14.4" customHeight="1" x14ac:dyDescent="0.3"/>
    <row r="2" ht="15" customHeight="1" x14ac:dyDescent="0.3"/>
    <row r="14" ht="14.4" customHeight="1" x14ac:dyDescent="0.3"/>
    <row r="15" ht="15" customHeight="1" x14ac:dyDescent="0.3"/>
    <row r="27" ht="14.4" customHeight="1" x14ac:dyDescent="0.3"/>
    <row r="28" ht="15" customHeight="1" x14ac:dyDescent="0.3"/>
    <row r="40" ht="14.4" customHeight="1" x14ac:dyDescent="0.3"/>
    <row r="41" ht="15" customHeight="1" x14ac:dyDescent="0.3"/>
    <row r="53" ht="14.4" customHeight="1" x14ac:dyDescent="0.3"/>
    <row r="54" ht="15" customHeight="1" x14ac:dyDescent="0.3"/>
    <row r="66" ht="14.4" customHeight="1" x14ac:dyDescent="0.3"/>
    <row r="67" ht="15" customHeight="1" x14ac:dyDescent="0.3"/>
    <row r="79" ht="14.4" customHeight="1" x14ac:dyDescent="0.3"/>
    <row r="80" ht="15" customHeight="1" x14ac:dyDescent="0.3"/>
    <row r="92" ht="14.4" customHeight="1" x14ac:dyDescent="0.3"/>
    <row r="93" ht="15" customHeight="1" x14ac:dyDescent="0.3"/>
    <row r="131" ht="14.4" customHeight="1" x14ac:dyDescent="0.3"/>
    <row r="132" ht="15" customHeight="1" x14ac:dyDescent="0.3"/>
    <row r="144" ht="14.4" customHeight="1" x14ac:dyDescent="0.3"/>
    <row r="145" ht="15" customHeight="1" x14ac:dyDescent="0.3"/>
    <row r="157" ht="14.4" customHeight="1" x14ac:dyDescent="0.3"/>
    <row r="158" ht="15" customHeight="1" x14ac:dyDescent="0.3"/>
  </sheetData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tabSelected="1" workbookViewId="0">
      <selection activeCell="H25" sqref="H25"/>
    </sheetView>
  </sheetViews>
  <sheetFormatPr defaultRowHeight="14.4" x14ac:dyDescent="0.3"/>
  <sheetData>
    <row r="1" spans="1:9" x14ac:dyDescent="0.3">
      <c r="A1" s="73" t="s">
        <v>46</v>
      </c>
      <c r="B1" s="73"/>
      <c r="C1" s="73"/>
      <c r="D1" s="73"/>
      <c r="E1" s="73"/>
      <c r="F1" s="73"/>
      <c r="G1" s="73"/>
      <c r="H1" s="73"/>
      <c r="I1" s="73"/>
    </row>
    <row r="2" spans="1:9" x14ac:dyDescent="0.3">
      <c r="A2" s="73"/>
      <c r="B2" s="73"/>
      <c r="C2" s="73"/>
      <c r="D2" s="73"/>
      <c r="E2" s="73"/>
      <c r="F2" s="73"/>
      <c r="G2" s="73"/>
      <c r="H2" s="73"/>
      <c r="I2" s="73"/>
    </row>
    <row r="3" spans="1:9" x14ac:dyDescent="0.3">
      <c r="A3" s="74"/>
      <c r="B3" s="74"/>
      <c r="C3" s="74"/>
      <c r="D3" s="74"/>
      <c r="E3" s="74"/>
      <c r="F3" s="74"/>
      <c r="G3" s="74"/>
      <c r="H3" s="74"/>
      <c r="I3" s="74"/>
    </row>
    <row r="4" spans="1:9" x14ac:dyDescent="0.3">
      <c r="A4" s="74"/>
      <c r="B4" s="74"/>
      <c r="C4" s="74"/>
      <c r="D4" s="74"/>
      <c r="E4" s="74"/>
      <c r="F4" s="74"/>
      <c r="G4" s="74"/>
      <c r="H4" s="74"/>
      <c r="I4" s="74"/>
    </row>
    <row r="5" spans="1:9" x14ac:dyDescent="0.3">
      <c r="A5" s="74"/>
      <c r="B5" s="74"/>
      <c r="C5" s="74"/>
      <c r="D5" s="74"/>
      <c r="E5" s="74"/>
      <c r="F5" s="74"/>
      <c r="G5" s="74"/>
      <c r="H5" s="74"/>
      <c r="I5" s="74"/>
    </row>
    <row r="6" spans="1:9" x14ac:dyDescent="0.3">
      <c r="A6" s="74"/>
      <c r="B6" s="74"/>
      <c r="C6" s="74"/>
      <c r="D6" s="74"/>
      <c r="E6" s="74"/>
      <c r="F6" s="74"/>
      <c r="G6" s="74"/>
      <c r="H6" s="74"/>
      <c r="I6" s="74"/>
    </row>
    <row r="7" spans="1:9" x14ac:dyDescent="0.3">
      <c r="A7" s="74"/>
      <c r="B7" s="74"/>
      <c r="C7" s="74"/>
      <c r="D7" s="74"/>
      <c r="E7" s="74"/>
      <c r="F7" s="74"/>
      <c r="G7" s="74"/>
      <c r="H7" s="74"/>
      <c r="I7" s="74"/>
    </row>
    <row r="8" spans="1:9" x14ac:dyDescent="0.3">
      <c r="A8" s="74"/>
      <c r="B8" s="74"/>
      <c r="C8" s="74"/>
      <c r="D8" s="74"/>
      <c r="E8" s="74"/>
      <c r="F8" s="74"/>
      <c r="G8" s="74"/>
      <c r="H8" s="74"/>
      <c r="I8" s="74"/>
    </row>
    <row r="9" spans="1:9" x14ac:dyDescent="0.3">
      <c r="A9" s="74"/>
      <c r="B9" s="74"/>
      <c r="C9" s="74"/>
      <c r="D9" s="74"/>
      <c r="E9" s="74"/>
      <c r="F9" s="74"/>
      <c r="G9" s="74"/>
      <c r="H9" s="74"/>
      <c r="I9" s="74"/>
    </row>
    <row r="10" spans="1:9" x14ac:dyDescent="0.3">
      <c r="A10" s="74"/>
      <c r="B10" s="74"/>
      <c r="C10" s="74"/>
      <c r="D10" s="74"/>
      <c r="E10" s="74"/>
      <c r="F10" s="74"/>
      <c r="G10" s="74"/>
      <c r="H10" s="74"/>
      <c r="I10" s="74"/>
    </row>
    <row r="11" spans="1:9" x14ac:dyDescent="0.3">
      <c r="A11" s="74"/>
      <c r="B11" s="74"/>
      <c r="C11" s="74"/>
      <c r="D11" s="74"/>
      <c r="E11" s="74"/>
      <c r="F11" s="74"/>
      <c r="G11" s="74"/>
      <c r="H11" s="74"/>
      <c r="I11" s="74"/>
    </row>
    <row r="12" spans="1:9" x14ac:dyDescent="0.3">
      <c r="A12" s="74"/>
      <c r="B12" s="74"/>
      <c r="C12" s="74"/>
      <c r="D12" s="74"/>
      <c r="E12" s="74"/>
      <c r="F12" s="74"/>
      <c r="G12" s="74"/>
      <c r="H12" s="74"/>
      <c r="I12" s="74"/>
    </row>
    <row r="13" spans="1:9" x14ac:dyDescent="0.3">
      <c r="A13" s="74"/>
      <c r="B13" s="74"/>
      <c r="C13" s="74"/>
      <c r="D13" s="74"/>
      <c r="E13" s="74"/>
      <c r="F13" s="74"/>
      <c r="G13" s="74"/>
      <c r="H13" s="74"/>
      <c r="I13" s="74"/>
    </row>
    <row r="14" spans="1:9" x14ac:dyDescent="0.3">
      <c r="A14" s="74"/>
      <c r="B14" s="74"/>
      <c r="C14" s="74"/>
      <c r="D14" s="74"/>
      <c r="E14" s="74"/>
      <c r="F14" s="74"/>
      <c r="G14" s="74"/>
      <c r="H14" s="74"/>
      <c r="I14" s="74"/>
    </row>
    <row r="15" spans="1:9" x14ac:dyDescent="0.3">
      <c r="A15" s="74"/>
      <c r="B15" s="74"/>
      <c r="C15" s="74"/>
      <c r="D15" s="74"/>
      <c r="E15" s="74"/>
      <c r="F15" s="74"/>
      <c r="G15" s="74"/>
      <c r="H15" s="74"/>
      <c r="I15" s="74"/>
    </row>
    <row r="16" spans="1:9" x14ac:dyDescent="0.3">
      <c r="A16" s="74"/>
      <c r="B16" s="74"/>
      <c r="C16" s="74"/>
      <c r="D16" s="74"/>
      <c r="E16" s="74"/>
      <c r="F16" s="74"/>
      <c r="G16" s="74"/>
      <c r="H16" s="74"/>
      <c r="I16" s="74"/>
    </row>
    <row r="17" spans="1:9" x14ac:dyDescent="0.3">
      <c r="A17" s="74"/>
      <c r="B17" s="74"/>
      <c r="C17" s="74"/>
      <c r="D17" s="74"/>
      <c r="E17" s="74"/>
      <c r="F17" s="74"/>
      <c r="G17" s="74"/>
      <c r="H17" s="74"/>
      <c r="I17" s="74"/>
    </row>
    <row r="18" spans="1:9" x14ac:dyDescent="0.3">
      <c r="A18" s="74"/>
      <c r="B18" s="74"/>
      <c r="C18" s="74"/>
      <c r="D18" s="74"/>
      <c r="E18" s="74"/>
      <c r="F18" s="74"/>
      <c r="G18" s="74"/>
      <c r="H18" s="74"/>
      <c r="I18" s="74"/>
    </row>
    <row r="19" spans="1:9" x14ac:dyDescent="0.3">
      <c r="A19" s="74"/>
      <c r="B19" s="74"/>
      <c r="C19" s="74"/>
      <c r="D19" s="74"/>
      <c r="E19" s="74"/>
      <c r="F19" s="74"/>
      <c r="G19" s="74"/>
      <c r="H19" s="74"/>
      <c r="I19" s="74"/>
    </row>
    <row r="20" spans="1:9" x14ac:dyDescent="0.3">
      <c r="A20" s="74"/>
      <c r="B20" s="74"/>
      <c r="C20" s="74"/>
      <c r="D20" s="74"/>
      <c r="E20" s="74"/>
      <c r="F20" s="74"/>
      <c r="G20" s="74"/>
      <c r="H20" s="74"/>
      <c r="I20" s="74"/>
    </row>
    <row r="21" spans="1:9" x14ac:dyDescent="0.3">
      <c r="A21" s="74"/>
      <c r="B21" s="74"/>
      <c r="C21" s="74"/>
      <c r="D21" s="74"/>
      <c r="E21" s="74"/>
      <c r="F21" s="74"/>
      <c r="G21" s="74"/>
      <c r="H21" s="74"/>
      <c r="I21" s="74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topLeftCell="A16" zoomScaleNormal="100" zoomScalePageLayoutView="85" workbookViewId="0">
      <selection activeCell="R50" sqref="R50"/>
    </sheetView>
  </sheetViews>
  <sheetFormatPr defaultRowHeight="14.4" x14ac:dyDescent="0.3"/>
  <cols>
    <col min="4" max="6" width="8.88671875" style="15"/>
  </cols>
  <sheetData>
    <row r="1" spans="1:23" x14ac:dyDescent="0.3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" thickBot="1" x14ac:dyDescent="0.3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" thickTop="1" x14ac:dyDescent="0.3">
      <c r="A3" s="76" t="s">
        <v>6</v>
      </c>
      <c r="B3" s="77"/>
      <c r="C3" s="78" t="s">
        <v>42</v>
      </c>
      <c r="D3" s="79"/>
      <c r="E3" s="79"/>
      <c r="F3" s="79"/>
      <c r="G3" s="79"/>
      <c r="H3" s="79"/>
      <c r="I3" s="80"/>
      <c r="J3" s="76" t="s">
        <v>6</v>
      </c>
      <c r="K3" s="77"/>
      <c r="L3" s="78" t="s">
        <v>41</v>
      </c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3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3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" thickBot="1" x14ac:dyDescent="0.3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" thickBot="1" x14ac:dyDescent="0.3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" thickTop="1" x14ac:dyDescent="0.3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3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3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" thickBot="1" x14ac:dyDescent="0.3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3">
      <c r="A12" s="107" t="s">
        <v>14</v>
      </c>
      <c r="B12" s="108"/>
      <c r="C12" s="14"/>
      <c r="D12" s="109" t="s">
        <v>15</v>
      </c>
      <c r="E12" s="109"/>
      <c r="F12" s="110"/>
      <c r="G12" s="2">
        <v>0.5</v>
      </c>
      <c r="H12" s="3">
        <v>0.56597222222222221</v>
      </c>
      <c r="I12" s="4">
        <f>H12-G12</f>
        <v>6.597222222222221E-2</v>
      </c>
      <c r="J12" s="107">
        <v>44852</v>
      </c>
      <c r="K12" s="108"/>
      <c r="L12" s="14"/>
      <c r="M12" s="64" t="s">
        <v>16</v>
      </c>
      <c r="N12" s="64"/>
      <c r="O12" s="106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104" t="s">
        <v>17</v>
      </c>
      <c r="B13" s="105"/>
      <c r="C13" s="7"/>
      <c r="D13" s="64" t="s">
        <v>18</v>
      </c>
      <c r="E13" s="64"/>
      <c r="F13" s="106"/>
      <c r="G13" s="5">
        <v>0.53125</v>
      </c>
      <c r="H13" s="6">
        <v>0.64236111111111105</v>
      </c>
      <c r="I13" s="4">
        <f>H13-G13</f>
        <v>0.11111111111111105</v>
      </c>
      <c r="J13" s="104">
        <v>44853</v>
      </c>
      <c r="K13" s="105"/>
      <c r="L13" s="7"/>
      <c r="M13" s="64" t="s">
        <v>19</v>
      </c>
      <c r="N13" s="64"/>
      <c r="O13" s="106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104" t="s">
        <v>17</v>
      </c>
      <c r="B14" s="105"/>
      <c r="C14" s="7"/>
      <c r="D14" s="64" t="s">
        <v>20</v>
      </c>
      <c r="E14" s="64"/>
      <c r="F14" s="106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04">
        <v>44853</v>
      </c>
      <c r="K14" s="105"/>
      <c r="L14" s="17"/>
      <c r="M14" s="64" t="s">
        <v>21</v>
      </c>
      <c r="N14" s="64"/>
      <c r="O14" s="106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104" t="s">
        <v>22</v>
      </c>
      <c r="B15" s="105"/>
      <c r="C15" s="7"/>
      <c r="D15" s="64" t="s">
        <v>23</v>
      </c>
      <c r="E15" s="64"/>
      <c r="F15" s="106"/>
      <c r="G15" s="5">
        <v>0.33333333333333331</v>
      </c>
      <c r="H15" s="6">
        <v>0.4513888888888889</v>
      </c>
      <c r="I15" s="4">
        <f t="shared" si="0"/>
        <v>0.11805555555555558</v>
      </c>
      <c r="J15" s="104">
        <v>44854</v>
      </c>
      <c r="K15" s="105"/>
      <c r="L15" s="7"/>
      <c r="M15" s="64" t="s">
        <v>24</v>
      </c>
      <c r="N15" s="64"/>
      <c r="O15" s="106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104" t="s">
        <v>25</v>
      </c>
      <c r="B16" s="105"/>
      <c r="C16" s="7"/>
      <c r="D16" s="64" t="s">
        <v>26</v>
      </c>
      <c r="E16" s="64"/>
      <c r="F16" s="106"/>
      <c r="G16" s="5">
        <v>0.36805555555555558</v>
      </c>
      <c r="H16" s="6">
        <v>0.4513888888888889</v>
      </c>
      <c r="I16" s="4">
        <f t="shared" si="0"/>
        <v>8.3333333333333315E-2</v>
      </c>
      <c r="J16" s="104">
        <v>44855</v>
      </c>
      <c r="K16" s="111"/>
      <c r="L16" s="7"/>
      <c r="M16" s="64" t="s">
        <v>27</v>
      </c>
      <c r="N16" s="64"/>
      <c r="O16" s="106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104" t="s">
        <v>28</v>
      </c>
      <c r="B17" s="105"/>
      <c r="C17" s="7"/>
      <c r="D17" s="64" t="s">
        <v>29</v>
      </c>
      <c r="E17" s="64"/>
      <c r="F17" s="106"/>
      <c r="G17" s="5">
        <v>0.77083333333333337</v>
      </c>
      <c r="H17" s="6">
        <v>0.85416666666666663</v>
      </c>
      <c r="I17" s="4">
        <f t="shared" si="0"/>
        <v>8.3333333333333259E-2</v>
      </c>
      <c r="J17" s="104">
        <v>44877</v>
      </c>
      <c r="K17" s="105"/>
      <c r="L17" s="7"/>
      <c r="M17" s="64" t="s">
        <v>30</v>
      </c>
      <c r="N17" s="64"/>
      <c r="O17" s="106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104" t="s">
        <v>28</v>
      </c>
      <c r="B18" s="105"/>
      <c r="C18" s="7"/>
      <c r="D18" s="64" t="s">
        <v>31</v>
      </c>
      <c r="E18" s="64"/>
      <c r="F18" s="106"/>
      <c r="G18" s="5">
        <v>0.85416666666666663</v>
      </c>
      <c r="H18" s="6">
        <v>0.89583333333333337</v>
      </c>
      <c r="I18" s="4">
        <f t="shared" si="0"/>
        <v>4.1666666666666741E-2</v>
      </c>
      <c r="J18" s="104">
        <v>44846</v>
      </c>
      <c r="K18" s="105"/>
      <c r="L18" s="7"/>
      <c r="M18" s="64" t="s">
        <v>32</v>
      </c>
      <c r="N18" s="64"/>
      <c r="O18" s="106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104">
        <v>44878</v>
      </c>
      <c r="B19" s="105"/>
      <c r="C19" s="7"/>
      <c r="D19" s="64" t="s">
        <v>33</v>
      </c>
      <c r="E19" s="64"/>
      <c r="F19" s="106"/>
      <c r="G19" s="5">
        <v>0.33333333333333331</v>
      </c>
      <c r="H19" s="6">
        <v>0.48958333333333331</v>
      </c>
      <c r="I19" s="4">
        <f t="shared" si="0"/>
        <v>0.15625</v>
      </c>
      <c r="J19" s="104">
        <v>44878</v>
      </c>
      <c r="K19" s="105"/>
      <c r="L19" s="7"/>
      <c r="M19" s="64" t="s">
        <v>34</v>
      </c>
      <c r="N19" s="64"/>
      <c r="O19" s="106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104" t="s">
        <v>35</v>
      </c>
      <c r="B20" s="105"/>
      <c r="C20" s="7"/>
      <c r="D20" s="64" t="s">
        <v>36</v>
      </c>
      <c r="E20" s="64"/>
      <c r="F20" s="106"/>
      <c r="G20" s="5">
        <v>0.41666666666666669</v>
      </c>
      <c r="H20" s="6">
        <v>0.5</v>
      </c>
      <c r="I20" s="4">
        <f t="shared" si="0"/>
        <v>8.3333333333333315E-2</v>
      </c>
      <c r="J20" s="104">
        <v>44879</v>
      </c>
      <c r="K20" s="105"/>
      <c r="L20" s="7"/>
      <c r="M20" s="64" t="s">
        <v>37</v>
      </c>
      <c r="N20" s="64"/>
      <c r="O20" s="106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104" t="s">
        <v>39</v>
      </c>
      <c r="B21" s="105"/>
      <c r="C21" s="7"/>
      <c r="D21" s="64" t="s">
        <v>40</v>
      </c>
      <c r="E21" s="64"/>
      <c r="F21" s="106"/>
      <c r="G21" s="5">
        <v>0.36805555555555558</v>
      </c>
      <c r="H21" s="6">
        <v>0.44722222222222219</v>
      </c>
      <c r="I21" s="4">
        <f t="shared" si="0"/>
        <v>7.9166666666666607E-2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3">
      <c r="A22" s="104" t="s">
        <v>39</v>
      </c>
      <c r="B22" s="105"/>
      <c r="C22" s="7"/>
      <c r="D22" s="105" t="s">
        <v>47</v>
      </c>
      <c r="E22" s="105"/>
      <c r="F22" s="112"/>
      <c r="G22" s="5">
        <v>0.45833333333333331</v>
      </c>
      <c r="H22" s="6">
        <v>0.47916666666666669</v>
      </c>
      <c r="I22" s="4">
        <f t="shared" si="0"/>
        <v>2.083333333333337E-2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3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3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3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3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3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3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3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3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3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3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3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3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3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3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3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3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3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3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3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3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3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3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3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3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3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3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" thickBot="1" x14ac:dyDescent="0.3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" thickBot="1" x14ac:dyDescent="0.3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0.87777777777777743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0.68888888888888866</v>
      </c>
    </row>
    <row r="51" spans="1:18" ht="15" thickTop="1" x14ac:dyDescent="0.3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A12:B12"/>
    <mergeCell ref="A13:B13"/>
    <mergeCell ref="A14:B14"/>
    <mergeCell ref="D12:F12"/>
    <mergeCell ref="D13:F13"/>
    <mergeCell ref="D14:F14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D15:F15"/>
    <mergeCell ref="D16:F16"/>
    <mergeCell ref="D17:F17"/>
    <mergeCell ref="A21:B21"/>
    <mergeCell ref="A22:B22"/>
    <mergeCell ref="A23:B23"/>
    <mergeCell ref="A18:B18"/>
    <mergeCell ref="A19:B19"/>
    <mergeCell ref="A20:B20"/>
    <mergeCell ref="D18:F18"/>
    <mergeCell ref="D19:F19"/>
    <mergeCell ref="D20:F20"/>
    <mergeCell ref="D21:F21"/>
    <mergeCell ref="D22:F22"/>
    <mergeCell ref="D23:F23"/>
    <mergeCell ref="A15:B15"/>
    <mergeCell ref="A16:B16"/>
    <mergeCell ref="A17:B17"/>
    <mergeCell ref="A27:B27"/>
    <mergeCell ref="A28:B28"/>
    <mergeCell ref="A29:B29"/>
    <mergeCell ref="A24:B24"/>
    <mergeCell ref="A25:B25"/>
    <mergeCell ref="A26:B26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L3:R3"/>
    <mergeCell ref="J4:K4"/>
    <mergeCell ref="L4:R4"/>
    <mergeCell ref="J5:K5"/>
    <mergeCell ref="L5:R5"/>
    <mergeCell ref="J6:R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P7:R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J29:K29"/>
    <mergeCell ref="J30:K30"/>
    <mergeCell ref="J31:K31"/>
    <mergeCell ref="J26:K26"/>
    <mergeCell ref="J27:K27"/>
    <mergeCell ref="J28:K28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41:K41"/>
    <mergeCell ref="J42:K42"/>
    <mergeCell ref="J43:K43"/>
    <mergeCell ref="J38:K38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Übersich_DATA</vt:lpstr>
      <vt:lpstr>Sprint_DATA</vt:lpstr>
      <vt:lpstr>Übersicht</vt:lpstr>
      <vt:lpstr>Funktionen</vt:lpstr>
      <vt:lpstr>Sprint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2022-11-15T10:52:46Z</dcterms:modified>
  <cp:category/>
  <cp:contentStatus/>
</cp:coreProperties>
</file>