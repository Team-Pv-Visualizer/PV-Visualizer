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62" documentId="13_ncr:1_{D6568295-12B5-8B4F-A6D2-01144DBB118A}" xr6:coauthVersionLast="47" xr6:coauthVersionMax="47" xr10:uidLastSave="{CB309E46-B02F-4961-8AC9-3D9596861B18}"/>
  <bookViews>
    <workbookView xWindow="-108" yWindow="-108" windowWidth="23256" windowHeight="13176" activeTab="6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49" i="11" l="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R50" i="11" s="1"/>
  <c r="I12" i="11"/>
  <c r="I50" i="11" s="1"/>
  <c r="A4" i="2"/>
  <c r="R13" i="10"/>
  <c r="R14" i="10"/>
  <c r="R12" i="10" l="1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17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<sst xmlns="http://schemas.openxmlformats.org/spreadsheetml/2006/main" count="198" uniqueCount="73">
  <si>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</si>
  <si>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</si>
  <si>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</si>
  <si>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</si>
  <si>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</si>
  <si>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</si>
  <si>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</si>
  <si>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</si>
  <si>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</si>
  <si>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</si>
  <si>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</si>
  <si>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</si>
  <si>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</si>
  <si>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</si>
  <si>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</si>
  <si>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</si>
  <si>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</si>
  <si>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</si>
  <si>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</si>
  <si>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</si>
  <si>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</si>
  <si>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</si>
  <si>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</si>
  <si>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</si>
  <si>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</si>
  <si>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</si>
  <si>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</si>
  <si>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</si>
  <si>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</si>
  <si>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</si>
  <si>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</si>
  <si>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</si>
  <si>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</si>
  <si>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</si>
  <si>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</si>
  <si>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</si>
  <si>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</si>
  <si>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</si>
  <si>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</si>
  <si>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</si>
  <si>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</si>
  <si>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</si>
  <si>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</si>
  <si>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</si>
  <si>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</si>
  <si>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</si>
  <si>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</si>
  <si>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</si>
  <si>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</si>
  <si>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</si>
  <si>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</si>
  <si>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</si>
  <si>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</si>
  <si>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</si>
  <si>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</si>
  <si>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</si>
  <si>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</si>
  <si>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</si>
  <si>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</si>
  <si>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</si>
  <si>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</si>
  <si>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</si>
  <si>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</si>
  <si>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</si>
  <si>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</si>
  <si>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</si>
  <si>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</si>
  <si>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</si>
  <si>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</si>
  <si>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</si>
  <si>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</si>
  <si>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</si>
  <si>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29.11.2022 bs 13.12.2022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</si>
</sst>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7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23" xfId="0" applyBorder="1"/>
    <xf numFmtId="0" fontId="0" fillId="0" borderId="24" xfId="0" applyBorder="1"/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E3AFCF97-3C7A-4523-B476-2255E04799FD}"/>
            </a:ext>
          </a:extLst>
        </xdr:cNvPr>
        <xdr:cNvSpPr/>
      </xdr:nvSpPr>
      <xdr:spPr>
        <a:xfrm>
          <a:off x="11353800" y="426720"/>
          <a:ext cx="201930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defaultColWidth="8.77734375" defaultRowHeight="14.4" x14ac:dyDescent="0.3"/>
  <sheetData>
    <row r="1" spans="1:9" x14ac:dyDescent="0.3">
      <c r="A1" s="26"/>
      <c r="B1" s="27"/>
      <c r="C1" s="27"/>
      <c r="D1" s="27"/>
      <c r="E1" s="27"/>
      <c r="F1" s="27"/>
      <c r="G1" s="27"/>
      <c r="H1" s="27"/>
      <c r="I1" s="28"/>
    </row>
    <row r="2" spans="1:9" ht="15" thickBot="1" x14ac:dyDescent="0.35">
      <c r="A2" s="29"/>
      <c r="B2" s="30"/>
      <c r="C2" s="30"/>
      <c r="D2" s="30"/>
      <c r="E2" s="30"/>
      <c r="F2" s="30"/>
      <c r="G2" s="30"/>
      <c r="H2" s="30"/>
      <c r="I2" s="31"/>
    </row>
    <row r="3" spans="1:9" ht="15" thickBot="1" x14ac:dyDescent="0.35">
      <c r="A3" s="32" t="s">
        <v>45</v>
      </c>
      <c r="B3" s="33"/>
      <c r="C3" s="33"/>
      <c r="D3" s="33"/>
      <c r="E3" s="33"/>
      <c r="F3" s="33"/>
      <c r="G3" s="33"/>
      <c r="H3" s="33"/>
      <c r="I3" s="34"/>
    </row>
    <row r="4" spans="1:9" ht="15.6" thickTop="1" thickBot="1" x14ac:dyDescent="0.35">
      <c r="A4" s="35">
        <f>D9+D12</f>
        <v>1.566666666666666</v>
      </c>
      <c r="B4" s="36"/>
      <c r="C4" s="36"/>
      <c r="D4" s="36"/>
      <c r="E4" s="36"/>
      <c r="F4" s="36"/>
      <c r="G4" s="36"/>
      <c r="H4" s="36"/>
      <c r="I4" s="37"/>
    </row>
    <row r="5" spans="1:9" ht="15" thickBot="1" x14ac:dyDescent="0.35">
      <c r="A5" s="38"/>
      <c r="B5" s="39"/>
      <c r="C5" s="39"/>
      <c r="D5" s="39"/>
      <c r="E5" s="39"/>
      <c r="F5" s="39"/>
      <c r="G5" s="39"/>
      <c r="H5" s="39"/>
      <c r="I5" s="40"/>
    </row>
    <row r="6" spans="1:9" ht="15" thickBot="1" x14ac:dyDescent="0.35">
      <c r="A6" s="32" t="s">
        <v>1</v>
      </c>
      <c r="B6" s="33"/>
      <c r="C6" s="33"/>
      <c r="D6" s="33"/>
      <c r="E6" s="33"/>
      <c r="F6" s="33"/>
      <c r="G6" s="33"/>
      <c r="H6" s="33"/>
      <c r="I6" s="34"/>
    </row>
    <row r="7" spans="1:9" ht="15" thickTop="1" x14ac:dyDescent="0.3">
      <c r="A7" s="23"/>
      <c r="B7" s="24"/>
      <c r="C7" s="25"/>
      <c r="D7" s="23"/>
      <c r="E7" s="24"/>
      <c r="F7" s="24"/>
      <c r="G7" s="24"/>
      <c r="H7" s="24"/>
      <c r="I7" s="25"/>
    </row>
    <row r="8" spans="1:9" x14ac:dyDescent="0.3">
      <c r="A8" s="41" t="s">
        <v>2</v>
      </c>
      <c r="B8" s="42"/>
      <c r="C8" s="43"/>
      <c r="D8" s="44" t="s">
        <v>3</v>
      </c>
      <c r="E8" s="45"/>
      <c r="F8" s="45"/>
      <c r="G8" s="45"/>
      <c r="H8" s="45"/>
      <c r="I8" s="46"/>
    </row>
    <row r="9" spans="1:9" x14ac:dyDescent="0.3">
      <c r="A9" s="47" t="s">
        <v>4</v>
      </c>
      <c r="B9" s="48"/>
      <c r="C9" s="49"/>
      <c r="D9" s="50">
        <f>'Sprint 1'!I50</f>
        <v>0.87777777777777743</v>
      </c>
      <c r="E9" s="51"/>
      <c r="F9" s="51"/>
      <c r="G9" s="51"/>
      <c r="H9" s="51"/>
      <c r="I9" s="52"/>
    </row>
    <row r="10" spans="1:9" ht="15" thickBot="1" x14ac:dyDescent="0.35">
      <c r="A10" s="53"/>
      <c r="B10" s="54"/>
      <c r="C10" s="55"/>
      <c r="D10" s="53"/>
      <c r="E10" s="54"/>
      <c r="F10" s="54"/>
      <c r="G10" s="54"/>
      <c r="H10" s="54"/>
      <c r="I10" s="55"/>
    </row>
    <row r="11" spans="1:9" x14ac:dyDescent="0.3">
      <c r="A11" s="56" t="s">
        <v>2</v>
      </c>
      <c r="B11" s="57"/>
      <c r="C11" s="58"/>
      <c r="D11" s="59" t="s">
        <v>5</v>
      </c>
      <c r="E11" s="60"/>
      <c r="F11" s="60"/>
      <c r="G11" s="60"/>
      <c r="H11" s="60"/>
      <c r="I11" s="61"/>
    </row>
    <row r="12" spans="1:9" ht="15" thickBot="1" x14ac:dyDescent="0.35">
      <c r="A12" s="62" t="s">
        <v>4</v>
      </c>
      <c r="B12" s="63"/>
      <c r="C12" s="64"/>
      <c r="D12" s="65">
        <f>'Sprint 1'!R50</f>
        <v>0.68888888888888866</v>
      </c>
      <c r="E12" s="66"/>
      <c r="F12" s="66"/>
      <c r="G12" s="66"/>
      <c r="H12" s="66"/>
      <c r="I12" s="67"/>
    </row>
    <row r="13" spans="1:9" x14ac:dyDescent="0.3">
      <c r="A13" s="68"/>
      <c r="B13" s="68"/>
      <c r="C13" s="68"/>
      <c r="D13" s="68"/>
      <c r="E13" s="68"/>
      <c r="F13" s="68"/>
      <c r="G13" s="68"/>
      <c r="H13" s="68"/>
      <c r="I13" s="68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defaultColWidth="8.77734375" defaultRowHeight="14.4" x14ac:dyDescent="0.3"/>
  <cols>
    <col min="4" max="6" width="8.77734375" style="15"/>
  </cols>
  <sheetData>
    <row r="1" spans="1:23" x14ac:dyDescent="0.3">
      <c r="A1" s="78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5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5" thickTop="1" x14ac:dyDescent="0.3">
      <c r="A3" s="81" t="s">
        <v>6</v>
      </c>
      <c r="B3" s="82"/>
      <c r="C3" s="83"/>
      <c r="D3" s="84"/>
      <c r="E3" s="84"/>
      <c r="F3" s="84"/>
      <c r="G3" s="84"/>
      <c r="H3" s="84"/>
      <c r="I3" s="85"/>
      <c r="J3" s="81" t="s">
        <v>6</v>
      </c>
      <c r="K3" s="82"/>
      <c r="L3" s="83"/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3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3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5" thickBot="1" x14ac:dyDescent="0.3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5" thickBot="1" x14ac:dyDescent="0.3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5" thickTop="1" x14ac:dyDescent="0.3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3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3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5" thickBot="1" x14ac:dyDescent="0.3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3">
      <c r="A12" s="112"/>
      <c r="B12" s="113"/>
      <c r="C12" s="14"/>
      <c r="D12" s="114"/>
      <c r="E12" s="114"/>
      <c r="F12" s="115"/>
      <c r="G12" s="2"/>
      <c r="H12" s="3"/>
      <c r="I12" s="4">
        <f>H12-G12</f>
        <v>0</v>
      </c>
      <c r="J12" s="112"/>
      <c r="K12" s="113"/>
      <c r="L12" s="14"/>
      <c r="M12" s="69"/>
      <c r="N12" s="69"/>
      <c r="O12" s="111"/>
      <c r="P12" s="2"/>
      <c r="Q12" s="3"/>
      <c r="R12" s="4">
        <f>Q12-P12</f>
        <v>0</v>
      </c>
    </row>
    <row r="13" spans="1:23" x14ac:dyDescent="0.3">
      <c r="A13" s="109"/>
      <c r="B13" s="110"/>
      <c r="C13" s="7"/>
      <c r="D13" s="69"/>
      <c r="E13" s="69"/>
      <c r="F13" s="111"/>
      <c r="G13" s="5"/>
      <c r="H13" s="6"/>
      <c r="I13" s="4">
        <f>H13-G13</f>
        <v>0</v>
      </c>
      <c r="J13" s="109"/>
      <c r="K13" s="110"/>
      <c r="L13" s="7"/>
      <c r="M13" s="69"/>
      <c r="N13" s="69"/>
      <c r="O13" s="111"/>
      <c r="P13" s="5"/>
      <c r="Q13" s="6"/>
      <c r="R13" s="4">
        <f>Q13-P13</f>
        <v>0</v>
      </c>
    </row>
    <row r="14" spans="1:23" x14ac:dyDescent="0.3">
      <c r="A14" s="109"/>
      <c r="B14" s="110"/>
      <c r="C14" s="7"/>
      <c r="D14" s="69"/>
      <c r="E14" s="69"/>
      <c r="F14" s="111"/>
      <c r="G14" s="5"/>
      <c r="H14" s="6"/>
      <c r="I14" s="4">
        <f t="shared" ref="I14:I49" si="0">H14-G14</f>
        <v>0</v>
      </c>
      <c r="J14" s="109"/>
      <c r="K14" s="110"/>
      <c r="L14" s="17"/>
      <c r="M14" s="69"/>
      <c r="N14" s="69"/>
      <c r="O14" s="111"/>
      <c r="P14" s="5"/>
      <c r="Q14" s="6"/>
      <c r="R14" s="4">
        <f t="shared" ref="R14:R40" si="1">Q14-P14</f>
        <v>0</v>
      </c>
    </row>
    <row r="15" spans="1:23" x14ac:dyDescent="0.3">
      <c r="A15" s="109"/>
      <c r="B15" s="110"/>
      <c r="C15" s="7"/>
      <c r="D15" s="69"/>
      <c r="E15" s="69"/>
      <c r="F15" s="111"/>
      <c r="G15" s="5"/>
      <c r="H15" s="6"/>
      <c r="I15" s="4">
        <f t="shared" si="0"/>
        <v>0</v>
      </c>
      <c r="J15" s="109"/>
      <c r="K15" s="110"/>
      <c r="L15" s="7"/>
      <c r="M15" s="69"/>
      <c r="N15" s="69"/>
      <c r="O15" s="111"/>
      <c r="P15" s="5"/>
      <c r="Q15" s="6"/>
      <c r="R15" s="4">
        <f t="shared" si="1"/>
        <v>0</v>
      </c>
    </row>
    <row r="16" spans="1:23" x14ac:dyDescent="0.3">
      <c r="A16" s="109"/>
      <c r="B16" s="110"/>
      <c r="C16" s="7"/>
      <c r="D16" s="69"/>
      <c r="E16" s="69"/>
      <c r="F16" s="111"/>
      <c r="G16" s="5"/>
      <c r="H16" s="6"/>
      <c r="I16" s="4">
        <f t="shared" si="0"/>
        <v>0</v>
      </c>
      <c r="J16" s="109"/>
      <c r="K16" s="116"/>
      <c r="L16" s="7"/>
      <c r="M16" s="69"/>
      <c r="N16" s="69"/>
      <c r="O16" s="111"/>
      <c r="P16" s="5"/>
      <c r="Q16" s="6"/>
      <c r="R16" s="4">
        <f>Q16-P16</f>
        <v>0</v>
      </c>
    </row>
    <row r="17" spans="1:18" x14ac:dyDescent="0.3">
      <c r="A17" s="109"/>
      <c r="B17" s="110"/>
      <c r="C17" s="7"/>
      <c r="D17" s="69"/>
      <c r="E17" s="69"/>
      <c r="F17" s="111"/>
      <c r="G17" s="5"/>
      <c r="H17" s="6"/>
      <c r="I17" s="4">
        <f t="shared" si="0"/>
        <v>0</v>
      </c>
      <c r="J17" s="109"/>
      <c r="K17" s="110"/>
      <c r="L17" s="7"/>
      <c r="M17" s="69"/>
      <c r="N17" s="69"/>
      <c r="O17" s="111"/>
      <c r="P17" s="5"/>
      <c r="Q17" s="6"/>
      <c r="R17" s="4">
        <f t="shared" si="1"/>
        <v>0</v>
      </c>
    </row>
    <row r="18" spans="1:18" x14ac:dyDescent="0.3">
      <c r="A18" s="109"/>
      <c r="B18" s="110"/>
      <c r="C18" s="7"/>
      <c r="D18" s="69"/>
      <c r="E18" s="69"/>
      <c r="F18" s="111"/>
      <c r="G18" s="5"/>
      <c r="H18" s="6"/>
      <c r="I18" s="4">
        <f t="shared" si="0"/>
        <v>0</v>
      </c>
      <c r="J18" s="109"/>
      <c r="K18" s="110"/>
      <c r="L18" s="7"/>
      <c r="M18" s="69"/>
      <c r="N18" s="69"/>
      <c r="O18" s="111"/>
      <c r="P18" s="5"/>
      <c r="Q18" s="6"/>
      <c r="R18" s="4">
        <f t="shared" si="1"/>
        <v>0</v>
      </c>
    </row>
    <row r="19" spans="1:18" x14ac:dyDescent="0.3">
      <c r="A19" s="109"/>
      <c r="B19" s="110"/>
      <c r="C19" s="7"/>
      <c r="D19" s="69"/>
      <c r="E19" s="69"/>
      <c r="F19" s="111"/>
      <c r="G19" s="5"/>
      <c r="H19" s="6"/>
      <c r="I19" s="4">
        <f t="shared" si="0"/>
        <v>0</v>
      </c>
      <c r="J19" s="109"/>
      <c r="K19" s="110"/>
      <c r="L19" s="7"/>
      <c r="M19" s="69"/>
      <c r="N19" s="69"/>
      <c r="O19" s="111"/>
      <c r="P19" s="5"/>
      <c r="Q19" s="6"/>
      <c r="R19" s="4">
        <f>Q19-P19</f>
        <v>0</v>
      </c>
    </row>
    <row r="20" spans="1:18" x14ac:dyDescent="0.3">
      <c r="A20" s="109"/>
      <c r="B20" s="110"/>
      <c r="C20" s="7"/>
      <c r="D20" s="69"/>
      <c r="E20" s="69"/>
      <c r="F20" s="111"/>
      <c r="G20" s="5"/>
      <c r="H20" s="6"/>
      <c r="I20" s="4">
        <f t="shared" si="0"/>
        <v>0</v>
      </c>
      <c r="J20" s="109"/>
      <c r="K20" s="110"/>
      <c r="L20" s="7"/>
      <c r="M20" s="69"/>
      <c r="N20" s="69"/>
      <c r="O20" s="111"/>
      <c r="P20" s="5"/>
      <c r="Q20" s="6"/>
      <c r="R20" s="4">
        <f t="shared" si="1"/>
        <v>0</v>
      </c>
    </row>
    <row r="21" spans="1:18" x14ac:dyDescent="0.3">
      <c r="A21" s="109"/>
      <c r="B21" s="110"/>
      <c r="C21" s="7"/>
      <c r="D21" s="69"/>
      <c r="E21" s="69"/>
      <c r="F21" s="111"/>
      <c r="G21" s="5"/>
      <c r="H21" s="6"/>
      <c r="I21" s="4">
        <f t="shared" si="0"/>
        <v>0</v>
      </c>
      <c r="J21" s="109"/>
      <c r="K21" s="110"/>
      <c r="L21" s="7"/>
      <c r="M21" s="110"/>
      <c r="N21" s="110"/>
      <c r="O21" s="117"/>
      <c r="P21" s="5"/>
      <c r="Q21" s="6"/>
      <c r="R21" s="4">
        <f t="shared" si="1"/>
        <v>0</v>
      </c>
    </row>
    <row r="22" spans="1:18" x14ac:dyDescent="0.3">
      <c r="A22" s="109"/>
      <c r="B22" s="110"/>
      <c r="C22" s="7"/>
      <c r="D22" s="110"/>
      <c r="E22" s="110"/>
      <c r="F22" s="117"/>
      <c r="G22" s="5"/>
      <c r="H22" s="6"/>
      <c r="I22" s="4">
        <f t="shared" si="0"/>
        <v>0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3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3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3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3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3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18"/>
      <c r="K27" s="110"/>
      <c r="L27" s="7"/>
      <c r="M27" s="110"/>
      <c r="N27" s="110"/>
      <c r="O27" s="117"/>
      <c r="P27" s="7"/>
      <c r="Q27" s="8"/>
      <c r="R27" s="4">
        <f t="shared" si="1"/>
        <v>0</v>
      </c>
    </row>
    <row r="28" spans="1:18" x14ac:dyDescent="0.3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3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3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3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3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3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3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3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3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3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3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3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3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3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9"/>
      <c r="K41" s="120"/>
      <c r="L41" s="7"/>
      <c r="M41" s="110"/>
      <c r="N41" s="110"/>
      <c r="O41" s="117"/>
      <c r="P41" s="9"/>
      <c r="Q41" s="1"/>
      <c r="R41" s="4">
        <f>Q41-P41</f>
        <v>0</v>
      </c>
    </row>
    <row r="42" spans="1:18" x14ac:dyDescent="0.3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8"/>
      <c r="K42" s="110"/>
      <c r="L42" s="7"/>
      <c r="M42" s="110"/>
      <c r="N42" s="110"/>
      <c r="O42" s="117"/>
      <c r="P42" s="7"/>
      <c r="Q42" s="8"/>
      <c r="R42" s="4">
        <f t="shared" ref="R42:R49" si="2">Q42-P42</f>
        <v>0</v>
      </c>
    </row>
    <row r="43" spans="1:18" x14ac:dyDescent="0.3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si="2"/>
        <v>0</v>
      </c>
    </row>
    <row r="44" spans="1:18" x14ac:dyDescent="0.3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3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3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3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3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5" thickBot="1" x14ac:dyDescent="0.3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10"/>
      <c r="M49" s="110"/>
      <c r="N49" s="110"/>
      <c r="O49" s="117"/>
      <c r="P49" s="7"/>
      <c r="Q49" s="8"/>
      <c r="R49" s="4">
        <f t="shared" si="2"/>
        <v>0</v>
      </c>
    </row>
    <row r="50" spans="1:18" ht="15" thickBot="1" x14ac:dyDescent="0.3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23"/>
  <sheetViews>
    <sheetView zoomScale="115" zoomScaleNormal="115" workbookViewId="0">
      <selection activeCell="J19" sqref="J19"/>
    </sheetView>
  </sheetViews>
  <sheetFormatPr defaultColWidth="8.77734375" defaultRowHeight="14.4" x14ac:dyDescent="0.3"/>
  <sheetData>
    <row r="1" spans="1:9" ht="14.4" customHeight="1" x14ac:dyDescent="0.3">
      <c r="A1" s="26" t="s">
        <v>48</v>
      </c>
      <c r="B1" s="27"/>
      <c r="C1" s="27"/>
      <c r="D1" s="27"/>
      <c r="E1" s="27"/>
      <c r="F1" s="27"/>
      <c r="G1" s="27"/>
      <c r="H1" s="27"/>
      <c r="I1" s="28"/>
    </row>
    <row r="2" spans="1:9" ht="15" customHeight="1" thickBot="1" x14ac:dyDescent="0.35">
      <c r="A2" s="29"/>
      <c r="B2" s="30"/>
      <c r="C2" s="30"/>
      <c r="D2" s="30"/>
      <c r="E2" s="30"/>
      <c r="F2" s="30"/>
      <c r="G2" s="30"/>
      <c r="H2" s="30"/>
      <c r="I2" s="31"/>
    </row>
    <row r="3" spans="1:9" ht="15" thickBot="1" x14ac:dyDescent="0.35">
      <c r="A3" s="32" t="s">
        <v>45</v>
      </c>
      <c r="B3" s="33"/>
      <c r="C3" s="33"/>
      <c r="D3" s="33"/>
      <c r="E3" s="33"/>
      <c r="F3" s="33"/>
      <c r="G3" s="33"/>
      <c r="H3" s="33"/>
      <c r="I3" s="34"/>
    </row>
    <row r="4" spans="1:9" ht="15.6" thickTop="1" thickBot="1" x14ac:dyDescent="0.35">
      <c r="A4" s="35">
        <f>D9+D12</f>
        <v>1.2340277777777779</v>
      </c>
      <c r="B4" s="36"/>
      <c r="C4" s="36"/>
      <c r="D4" s="36"/>
      <c r="E4" s="36"/>
      <c r="F4" s="36"/>
      <c r="G4" s="36"/>
      <c r="H4" s="36"/>
      <c r="I4" s="37"/>
    </row>
    <row r="5" spans="1:9" ht="15" thickBot="1" x14ac:dyDescent="0.35">
      <c r="A5" s="38"/>
      <c r="B5" s="39"/>
      <c r="C5" s="39"/>
      <c r="D5" s="39"/>
      <c r="E5" s="39"/>
      <c r="F5" s="39"/>
      <c r="G5" s="39"/>
      <c r="H5" s="39"/>
      <c r="I5" s="40"/>
    </row>
    <row r="6" spans="1:9" ht="15" thickBot="1" x14ac:dyDescent="0.35">
      <c r="A6" s="32" t="s">
        <v>1</v>
      </c>
      <c r="B6" s="33"/>
      <c r="C6" s="33"/>
      <c r="D6" s="33"/>
      <c r="E6" s="33"/>
      <c r="F6" s="33"/>
      <c r="G6" s="33"/>
      <c r="H6" s="33"/>
      <c r="I6" s="34"/>
    </row>
    <row r="7" spans="1:9" ht="15" thickTop="1" x14ac:dyDescent="0.3">
      <c r="A7" s="23"/>
      <c r="B7" s="24"/>
      <c r="C7" s="25"/>
      <c r="D7" s="23"/>
      <c r="E7" s="24"/>
      <c r="F7" s="24"/>
      <c r="G7" s="24"/>
      <c r="H7" s="24"/>
      <c r="I7" s="25"/>
    </row>
    <row r="8" spans="1:9" x14ac:dyDescent="0.3">
      <c r="A8" s="41" t="s">
        <v>2</v>
      </c>
      <c r="B8" s="42"/>
      <c r="C8" s="43"/>
      <c r="D8" s="44" t="s">
        <v>3</v>
      </c>
      <c r="E8" s="45"/>
      <c r="F8" s="45"/>
      <c r="G8" s="45"/>
      <c r="H8" s="45"/>
      <c r="I8" s="46"/>
    </row>
    <row r="9" spans="1:9" x14ac:dyDescent="0.3">
      <c r="A9" s="47" t="s">
        <v>4</v>
      </c>
      <c r="B9" s="48"/>
      <c r="C9" s="49"/>
      <c r="D9" s="50">
        <v>0.80347222222222248</v>
      </c>
      <c r="E9" s="51"/>
      <c r="F9" s="51"/>
      <c r="G9" s="51"/>
      <c r="H9" s="51"/>
      <c r="I9" s="52"/>
    </row>
    <row r="10" spans="1:9" ht="15" thickBot="1" x14ac:dyDescent="0.35">
      <c r="A10" s="53"/>
      <c r="B10" s="54"/>
      <c r="C10" s="55"/>
      <c r="D10" s="53"/>
      <c r="E10" s="54"/>
      <c r="F10" s="54"/>
      <c r="G10" s="54"/>
      <c r="H10" s="54"/>
      <c r="I10" s="55"/>
    </row>
    <row r="11" spans="1:9" x14ac:dyDescent="0.3">
      <c r="A11" s="56" t="s">
        <v>2</v>
      </c>
      <c r="B11" s="57"/>
      <c r="C11" s="58"/>
      <c r="D11" s="59" t="s">
        <v>5</v>
      </c>
      <c r="E11" s="60"/>
      <c r="F11" s="60"/>
      <c r="G11" s="60"/>
      <c r="H11" s="60"/>
      <c r="I11" s="61"/>
    </row>
    <row r="12" spans="1:9" ht="15" thickBot="1" x14ac:dyDescent="0.35">
      <c r="A12" s="62" t="s">
        <v>4</v>
      </c>
      <c r="B12" s="63"/>
      <c r="C12" s="64"/>
      <c r="D12" s="65">
        <v>0.43055555555555552</v>
      </c>
      <c r="E12" s="66"/>
      <c r="F12" s="66"/>
      <c r="G12" s="66"/>
      <c r="H12" s="66"/>
      <c r="I12" s="67"/>
    </row>
    <row r="13" spans="1:9" ht="15" thickBot="1" x14ac:dyDescent="0.35">
      <c r="A13" s="68"/>
      <c r="B13" s="68"/>
      <c r="C13" s="68"/>
      <c r="D13" s="68"/>
      <c r="E13" s="68"/>
      <c r="F13" s="68"/>
      <c r="G13" s="68"/>
      <c r="H13" s="68"/>
      <c r="I13" s="68"/>
    </row>
    <row r="14" spans="1:9" ht="14.55" customHeight="1" x14ac:dyDescent="0.3">
      <c r="A14" s="26" t="s">
        <v>0</v>
      </c>
      <c r="B14" s="27"/>
      <c r="C14" s="27"/>
      <c r="D14" s="27"/>
      <c r="E14" s="27"/>
      <c r="F14" s="27"/>
      <c r="G14" s="27"/>
      <c r="H14" s="27"/>
      <c r="I14" s="28"/>
    </row>
    <row r="15" spans="1:9" ht="15" customHeight="1" thickBot="1" x14ac:dyDescent="0.35">
      <c r="A15" s="29"/>
      <c r="B15" s="30"/>
      <c r="C15" s="30"/>
      <c r="D15" s="30"/>
      <c r="E15" s="30"/>
      <c r="F15" s="30"/>
      <c r="G15" s="30"/>
      <c r="H15" s="30"/>
      <c r="I15" s="31"/>
    </row>
    <row r="16" spans="1:9" ht="15" thickBot="1" x14ac:dyDescent="0.35">
      <c r="A16" s="32" t="s">
        <v>45</v>
      </c>
      <c r="B16" s="33"/>
      <c r="C16" s="33"/>
      <c r="D16" s="33"/>
      <c r="E16" s="33"/>
      <c r="F16" s="33"/>
      <c r="G16" s="33"/>
      <c r="H16" s="33"/>
      <c r="I16" s="34"/>
    </row>
    <row r="17" spans="1:9" ht="15.6" thickTop="1" thickBot="1" x14ac:dyDescent="0.35">
      <c r="A17" s="35">
        <f>D22+D25</f>
        <v>1.566666666666666</v>
      </c>
      <c r="B17" s="36"/>
      <c r="C17" s="36"/>
      <c r="D17" s="36"/>
      <c r="E17" s="36"/>
      <c r="F17" s="36"/>
      <c r="G17" s="36"/>
      <c r="H17" s="36"/>
      <c r="I17" s="37"/>
    </row>
    <row r="18" spans="1:9" ht="15" thickBot="1" x14ac:dyDescent="0.35">
      <c r="A18" s="38"/>
      <c r="B18" s="39"/>
      <c r="C18" s="39"/>
      <c r="D18" s="39"/>
      <c r="E18" s="39"/>
      <c r="F18" s="39"/>
      <c r="G18" s="39"/>
      <c r="H18" s="39"/>
      <c r="I18" s="40"/>
    </row>
    <row r="19" spans="1:9" ht="15" thickBot="1" x14ac:dyDescent="0.35">
      <c r="A19" s="32" t="s">
        <v>1</v>
      </c>
      <c r="B19" s="33"/>
      <c r="C19" s="33"/>
      <c r="D19" s="33"/>
      <c r="E19" s="33"/>
      <c r="F19" s="33"/>
      <c r="G19" s="33"/>
      <c r="H19" s="33"/>
      <c r="I19" s="34"/>
    </row>
    <row r="20" spans="1:9" ht="15" thickTop="1" x14ac:dyDescent="0.3">
      <c r="A20" s="23"/>
      <c r="B20" s="24"/>
      <c r="C20" s="25"/>
      <c r="D20" s="23"/>
      <c r="E20" s="24"/>
      <c r="F20" s="24"/>
      <c r="G20" s="24"/>
      <c r="H20" s="24"/>
      <c r="I20" s="25"/>
    </row>
    <row r="21" spans="1:9" x14ac:dyDescent="0.3">
      <c r="A21" s="41" t="s">
        <v>2</v>
      </c>
      <c r="B21" s="42"/>
      <c r="C21" s="43"/>
      <c r="D21" s="44" t="s">
        <v>3</v>
      </c>
      <c r="E21" s="45"/>
      <c r="F21" s="45"/>
      <c r="G21" s="45"/>
      <c r="H21" s="45"/>
      <c r="I21" s="46"/>
    </row>
    <row r="22" spans="1:9" x14ac:dyDescent="0.3">
      <c r="A22" s="47" t="s">
        <v>4</v>
      </c>
      <c r="B22" s="48"/>
      <c r="C22" s="49"/>
      <c r="D22" s="50">
        <v>0.87777777777777743</v>
      </c>
      <c r="E22" s="51"/>
      <c r="F22" s="51"/>
      <c r="G22" s="51"/>
      <c r="H22" s="51"/>
      <c r="I22" s="52"/>
    </row>
    <row r="23" spans="1:9" ht="15" thickBot="1" x14ac:dyDescent="0.35">
      <c r="A23" s="53"/>
      <c r="B23" s="54"/>
      <c r="C23" s="55"/>
      <c r="D23" s="53"/>
      <c r="E23" s="54"/>
      <c r="F23" s="54"/>
      <c r="G23" s="54"/>
      <c r="H23" s="54"/>
      <c r="I23" s="55"/>
    </row>
    <row r="24" spans="1:9" x14ac:dyDescent="0.3">
      <c r="A24" s="56" t="s">
        <v>2</v>
      </c>
      <c r="B24" s="57"/>
      <c r="C24" s="58"/>
      <c r="D24" s="59" t="s">
        <v>5</v>
      </c>
      <c r="E24" s="60"/>
      <c r="F24" s="60"/>
      <c r="G24" s="60"/>
      <c r="H24" s="60"/>
      <c r="I24" s="61"/>
    </row>
    <row r="25" spans="1:9" ht="15" thickBot="1" x14ac:dyDescent="0.35">
      <c r="A25" s="62" t="s">
        <v>4</v>
      </c>
      <c r="B25" s="63"/>
      <c r="C25" s="64"/>
      <c r="D25" s="65">
        <v>0.68888888888888866</v>
      </c>
      <c r="E25" s="66"/>
      <c r="F25" s="66"/>
      <c r="G25" s="66"/>
      <c r="H25" s="66"/>
      <c r="I25" s="67"/>
    </row>
    <row r="26" spans="1:9" x14ac:dyDescent="0.3">
      <c r="A26" s="68"/>
      <c r="B26" s="68"/>
      <c r="C26" s="68"/>
      <c r="D26" s="68"/>
      <c r="E26" s="68"/>
      <c r="F26" s="68"/>
      <c r="G26" s="68"/>
      <c r="H26" s="68"/>
      <c r="I26" s="68"/>
    </row>
    <row r="27" spans="1:9" ht="15" customHeight="1" x14ac:dyDescent="0.3"/>
    <row r="28" spans="1:9" ht="15.75" customHeight="1" x14ac:dyDescent="0.3"/>
    <row r="40" ht="15" customHeight="1" x14ac:dyDescent="0.3"/>
    <row r="41" ht="15.75" customHeight="1" x14ac:dyDescent="0.3"/>
    <row r="53" ht="14.55" customHeight="1" x14ac:dyDescent="0.3"/>
    <row r="54" ht="15" customHeight="1" x14ac:dyDescent="0.3"/>
    <row r="66" ht="14.55" customHeight="1" x14ac:dyDescent="0.3"/>
    <row r="67" ht="15" customHeight="1" x14ac:dyDescent="0.3"/>
    <row r="79" ht="14.55" customHeight="1" x14ac:dyDescent="0.3"/>
    <row r="80" ht="15" customHeight="1" x14ac:dyDescent="0.3"/>
    <row r="92" ht="14.55" customHeight="1" x14ac:dyDescent="0.3"/>
    <row r="93" ht="15" customHeight="1" x14ac:dyDescent="0.3"/>
    <row r="105" ht="14.55" customHeight="1" x14ac:dyDescent="0.3"/>
    <row r="106" ht="15" customHeight="1" x14ac:dyDescent="0.3"/>
    <row r="118" ht="14.55" customHeight="1" x14ac:dyDescent="0.3"/>
    <row r="119" ht="15" customHeight="1" x14ac:dyDescent="0.3"/>
    <row r="131" ht="14.55" customHeight="1" x14ac:dyDescent="0.3"/>
    <row r="132" ht="15" customHeight="1" x14ac:dyDescent="0.3"/>
    <row r="144" ht="14.55" customHeight="1" x14ac:dyDescent="0.3"/>
    <row r="145" ht="15" customHeight="1" x14ac:dyDescent="0.3"/>
    <row r="157" ht="14.55" customHeight="1" x14ac:dyDescent="0.3"/>
    <row r="158" ht="15" customHeight="1" x14ac:dyDescent="0.3"/>
    <row r="196" ht="14.55" customHeight="1" x14ac:dyDescent="0.3"/>
    <row r="197" ht="15" customHeight="1" x14ac:dyDescent="0.3"/>
    <row r="209" ht="14.55" customHeight="1" x14ac:dyDescent="0.3"/>
    <row r="210" ht="15" customHeight="1" x14ac:dyDescent="0.3"/>
    <row r="222" ht="14.55" customHeight="1" x14ac:dyDescent="0.3"/>
    <row r="223" ht="15" customHeight="1" x14ac:dyDescent="0.3"/>
  </sheetData>
  <mergeCells count="36">
    <mergeCell ref="A20:C20"/>
    <mergeCell ref="D20:I20"/>
    <mergeCell ref="A14:I15"/>
    <mergeCell ref="A16:I16"/>
    <mergeCell ref="A17:I17"/>
    <mergeCell ref="A18:I18"/>
    <mergeCell ref="A19:I19"/>
    <mergeCell ref="A21:C21"/>
    <mergeCell ref="D21:I21"/>
    <mergeCell ref="A22:C22"/>
    <mergeCell ref="D22:I22"/>
    <mergeCell ref="A23:C23"/>
    <mergeCell ref="D23:I23"/>
    <mergeCell ref="A24:C24"/>
    <mergeCell ref="D24:I24"/>
    <mergeCell ref="A25:C25"/>
    <mergeCell ref="D25:I25"/>
    <mergeCell ref="A26:I26"/>
    <mergeCell ref="A1:I2"/>
    <mergeCell ref="A3:I3"/>
    <mergeCell ref="A4:I4"/>
    <mergeCell ref="A5:I5"/>
    <mergeCell ref="A6:I6"/>
    <mergeCell ref="A7:C7"/>
    <mergeCell ref="D7:I7"/>
    <mergeCell ref="A8:C8"/>
    <mergeCell ref="D8:I8"/>
    <mergeCell ref="A9:C9"/>
    <mergeCell ref="D9:I9"/>
    <mergeCell ref="A13:I13"/>
    <mergeCell ref="A10:C10"/>
    <mergeCell ref="D10:I10"/>
    <mergeCell ref="A11:C11"/>
    <mergeCell ref="D11:I11"/>
    <mergeCell ref="A12:C12"/>
    <mergeCell ref="D12:I12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defaultColWidth="8.77734375" defaultRowHeight="14.4" x14ac:dyDescent="0.3"/>
  <sheetData>
    <row r="1" spans="1:9" x14ac:dyDescent="0.3">
      <c r="A1" s="78" t="s">
        <v>46</v>
      </c>
      <c r="B1" s="78"/>
      <c r="C1" s="78"/>
      <c r="D1" s="78"/>
      <c r="E1" s="78"/>
      <c r="F1" s="78"/>
      <c r="G1" s="78"/>
      <c r="H1" s="78"/>
      <c r="I1" s="78"/>
    </row>
    <row r="2" spans="1:9" x14ac:dyDescent="0.3">
      <c r="A2" s="78"/>
      <c r="B2" s="78"/>
      <c r="C2" s="78"/>
      <c r="D2" s="78"/>
      <c r="E2" s="78"/>
      <c r="F2" s="78"/>
      <c r="G2" s="78"/>
      <c r="H2" s="78"/>
      <c r="I2" s="78"/>
    </row>
    <row r="3" spans="1:9" x14ac:dyDescent="0.3">
      <c r="A3" s="79"/>
      <c r="B3" s="79"/>
      <c r="C3" s="79"/>
      <c r="D3" s="79"/>
      <c r="E3" s="79"/>
      <c r="F3" s="79"/>
      <c r="G3" s="79"/>
      <c r="H3" s="79"/>
      <c r="I3" s="79"/>
    </row>
    <row r="4" spans="1:9" x14ac:dyDescent="0.3">
      <c r="A4" s="79"/>
      <c r="B4" s="79"/>
      <c r="C4" s="79"/>
      <c r="D4" s="79"/>
      <c r="E4" s="79"/>
      <c r="F4" s="79"/>
      <c r="G4" s="79"/>
      <c r="H4" s="79"/>
      <c r="I4" s="79"/>
    </row>
    <row r="5" spans="1:9" x14ac:dyDescent="0.3">
      <c r="A5" s="79"/>
      <c r="B5" s="79"/>
      <c r="C5" s="79"/>
      <c r="D5" s="79"/>
      <c r="E5" s="79"/>
      <c r="F5" s="79"/>
      <c r="G5" s="79"/>
      <c r="H5" s="79"/>
      <c r="I5" s="79"/>
    </row>
    <row r="6" spans="1:9" x14ac:dyDescent="0.3">
      <c r="A6" s="79"/>
      <c r="B6" s="79"/>
      <c r="C6" s="79"/>
      <c r="D6" s="79"/>
      <c r="E6" s="79"/>
      <c r="F6" s="79"/>
      <c r="G6" s="79"/>
      <c r="H6" s="79"/>
      <c r="I6" s="79"/>
    </row>
    <row r="7" spans="1:9" x14ac:dyDescent="0.3">
      <c r="A7" s="79"/>
      <c r="B7" s="79"/>
      <c r="C7" s="79"/>
      <c r="D7" s="79"/>
      <c r="E7" s="79"/>
      <c r="F7" s="79"/>
      <c r="G7" s="79"/>
      <c r="H7" s="79"/>
      <c r="I7" s="79"/>
    </row>
    <row r="8" spans="1:9" x14ac:dyDescent="0.3">
      <c r="A8" s="79"/>
      <c r="B8" s="79"/>
      <c r="C8" s="79"/>
      <c r="D8" s="79"/>
      <c r="E8" s="79"/>
      <c r="F8" s="79"/>
      <c r="G8" s="79"/>
      <c r="H8" s="79"/>
      <c r="I8" s="79"/>
    </row>
    <row r="9" spans="1:9" x14ac:dyDescent="0.3">
      <c r="A9" s="79"/>
      <c r="B9" s="79"/>
      <c r="C9" s="79"/>
      <c r="D9" s="79"/>
      <c r="E9" s="79"/>
      <c r="F9" s="79"/>
      <c r="G9" s="79"/>
      <c r="H9" s="79"/>
      <c r="I9" s="79"/>
    </row>
    <row r="10" spans="1:9" x14ac:dyDescent="0.3">
      <c r="A10" s="79"/>
      <c r="B10" s="79"/>
      <c r="C10" s="79"/>
      <c r="D10" s="79"/>
      <c r="E10" s="79"/>
      <c r="F10" s="79"/>
      <c r="G10" s="79"/>
      <c r="H10" s="79"/>
      <c r="I10" s="79"/>
    </row>
    <row r="11" spans="1:9" x14ac:dyDescent="0.3">
      <c r="A11" s="79"/>
      <c r="B11" s="79"/>
      <c r="C11" s="79"/>
      <c r="D11" s="79"/>
      <c r="E11" s="79"/>
      <c r="F11" s="79"/>
      <c r="G11" s="79"/>
      <c r="H11" s="79"/>
      <c r="I11" s="79"/>
    </row>
    <row r="12" spans="1:9" x14ac:dyDescent="0.3">
      <c r="A12" s="79"/>
      <c r="B12" s="79"/>
      <c r="C12" s="79"/>
      <c r="D12" s="79"/>
      <c r="E12" s="79"/>
      <c r="F12" s="79"/>
      <c r="G12" s="79"/>
      <c r="H12" s="79"/>
      <c r="I12" s="79"/>
    </row>
    <row r="13" spans="1:9" x14ac:dyDescent="0.3">
      <c r="A13" s="79"/>
      <c r="B13" s="79"/>
      <c r="C13" s="79"/>
      <c r="D13" s="79"/>
      <c r="E13" s="79"/>
      <c r="F13" s="79"/>
      <c r="G13" s="79"/>
      <c r="H13" s="79"/>
      <c r="I13" s="79"/>
    </row>
    <row r="14" spans="1:9" x14ac:dyDescent="0.3">
      <c r="A14" s="79"/>
      <c r="B14" s="79"/>
      <c r="C14" s="79"/>
      <c r="D14" s="79"/>
      <c r="E14" s="79"/>
      <c r="F14" s="79"/>
      <c r="G14" s="79"/>
      <c r="H14" s="79"/>
      <c r="I14" s="79"/>
    </row>
    <row r="15" spans="1:9" x14ac:dyDescent="0.3">
      <c r="A15" s="79"/>
      <c r="B15" s="79"/>
      <c r="C15" s="79"/>
      <c r="D15" s="79"/>
      <c r="E15" s="79"/>
      <c r="F15" s="79"/>
      <c r="G15" s="79"/>
      <c r="H15" s="79"/>
      <c r="I15" s="79"/>
    </row>
    <row r="16" spans="1:9" x14ac:dyDescent="0.3">
      <c r="A16" s="79"/>
      <c r="B16" s="79"/>
      <c r="C16" s="79"/>
      <c r="D16" s="79"/>
      <c r="E16" s="79"/>
      <c r="F16" s="79"/>
      <c r="G16" s="79"/>
      <c r="H16" s="79"/>
      <c r="I16" s="79"/>
    </row>
    <row r="17" spans="1:9" x14ac:dyDescent="0.3">
      <c r="A17" s="79"/>
      <c r="B17" s="79"/>
      <c r="C17" s="79"/>
      <c r="D17" s="79"/>
      <c r="E17" s="79"/>
      <c r="F17" s="79"/>
      <c r="G17" s="79"/>
      <c r="H17" s="79"/>
      <c r="I17" s="79"/>
    </row>
    <row r="18" spans="1:9" x14ac:dyDescent="0.3">
      <c r="A18" s="79"/>
      <c r="B18" s="79"/>
      <c r="C18" s="79"/>
      <c r="D18" s="79"/>
      <c r="E18" s="79"/>
      <c r="F18" s="79"/>
      <c r="G18" s="79"/>
      <c r="H18" s="79"/>
      <c r="I18" s="79"/>
    </row>
    <row r="19" spans="1:9" x14ac:dyDescent="0.3">
      <c r="A19" s="79"/>
      <c r="B19" s="79"/>
      <c r="C19" s="79"/>
      <c r="D19" s="79"/>
      <c r="E19" s="79"/>
      <c r="F19" s="79"/>
      <c r="G19" s="79"/>
      <c r="H19" s="79"/>
      <c r="I19" s="79"/>
    </row>
    <row r="20" spans="1:9" x14ac:dyDescent="0.3">
      <c r="A20" s="79"/>
      <c r="B20" s="79"/>
      <c r="C20" s="79"/>
      <c r="D20" s="79"/>
      <c r="E20" s="79"/>
      <c r="F20" s="79"/>
      <c r="G20" s="79"/>
      <c r="H20" s="79"/>
      <c r="I20" s="79"/>
    </row>
    <row r="21" spans="1:9" x14ac:dyDescent="0.3">
      <c r="A21" s="79"/>
      <c r="B21" s="79"/>
      <c r="C21" s="79"/>
      <c r="D21" s="79"/>
      <c r="E21" s="79"/>
      <c r="F21" s="79"/>
      <c r="G21" s="79"/>
      <c r="H21" s="79"/>
      <c r="I21" s="79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defaultColWidth="8.77734375" defaultRowHeight="14.4" x14ac:dyDescent="0.3"/>
  <cols>
    <col min="4" max="6" width="8.77734375" style="15"/>
  </cols>
  <sheetData>
    <row r="1" spans="1:23" x14ac:dyDescent="0.3">
      <c r="A1" s="78" t="s">
        <v>0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5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5" thickTop="1" x14ac:dyDescent="0.3">
      <c r="A3" s="81" t="s">
        <v>6</v>
      </c>
      <c r="B3" s="82"/>
      <c r="C3" s="83" t="s">
        <v>42</v>
      </c>
      <c r="D3" s="84"/>
      <c r="E3" s="84"/>
      <c r="F3" s="84"/>
      <c r="G3" s="84"/>
      <c r="H3" s="84"/>
      <c r="I3" s="85"/>
      <c r="J3" s="81" t="s">
        <v>6</v>
      </c>
      <c r="K3" s="82"/>
      <c r="L3" s="83" t="s">
        <v>41</v>
      </c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3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3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5" thickBot="1" x14ac:dyDescent="0.3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5" thickBot="1" x14ac:dyDescent="0.3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5" thickTop="1" x14ac:dyDescent="0.3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3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3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5" thickBot="1" x14ac:dyDescent="0.3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3">
      <c r="A12" s="112" t="s">
        <v>14</v>
      </c>
      <c r="B12" s="113"/>
      <c r="C12" s="14"/>
      <c r="D12" s="114" t="s">
        <v>15</v>
      </c>
      <c r="E12" s="114"/>
      <c r="F12" s="115"/>
      <c r="G12" s="2">
        <v>0.5</v>
      </c>
      <c r="H12" s="3">
        <v>0.56597222222222221</v>
      </c>
      <c r="I12" s="4">
        <f>H12-G12</f>
        <v>6.597222222222221E-2</v>
      </c>
      <c r="J12" s="112">
        <v>44852</v>
      </c>
      <c r="K12" s="113"/>
      <c r="L12" s="14"/>
      <c r="M12" s="69" t="s">
        <v>16</v>
      </c>
      <c r="N12" s="69"/>
      <c r="O12" s="111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109" t="s">
        <v>17</v>
      </c>
      <c r="B13" s="110"/>
      <c r="C13" s="7"/>
      <c r="D13" s="69" t="s">
        <v>18</v>
      </c>
      <c r="E13" s="69"/>
      <c r="F13" s="111"/>
      <c r="G13" s="5">
        <v>0.53125</v>
      </c>
      <c r="H13" s="6">
        <v>0.64236111111111105</v>
      </c>
      <c r="I13" s="4">
        <f>H13-G13</f>
        <v>0.11111111111111105</v>
      </c>
      <c r="J13" s="109">
        <v>44853</v>
      </c>
      <c r="K13" s="110"/>
      <c r="L13" s="7"/>
      <c r="M13" s="69" t="s">
        <v>19</v>
      </c>
      <c r="N13" s="69"/>
      <c r="O13" s="111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109" t="s">
        <v>17</v>
      </c>
      <c r="B14" s="110"/>
      <c r="C14" s="7"/>
      <c r="D14" s="69" t="s">
        <v>20</v>
      </c>
      <c r="E14" s="69"/>
      <c r="F14" s="111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09">
        <v>44853</v>
      </c>
      <c r="K14" s="110"/>
      <c r="L14" s="17"/>
      <c r="M14" s="69" t="s">
        <v>21</v>
      </c>
      <c r="N14" s="69"/>
      <c r="O14" s="111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109" t="s">
        <v>22</v>
      </c>
      <c r="B15" s="110"/>
      <c r="C15" s="7"/>
      <c r="D15" s="69" t="s">
        <v>23</v>
      </c>
      <c r="E15" s="69"/>
      <c r="F15" s="111"/>
      <c r="G15" s="5">
        <v>0.33333333333333331</v>
      </c>
      <c r="H15" s="6">
        <v>0.4513888888888889</v>
      </c>
      <c r="I15" s="4">
        <f t="shared" si="0"/>
        <v>0.11805555555555558</v>
      </c>
      <c r="J15" s="109">
        <v>44854</v>
      </c>
      <c r="K15" s="110"/>
      <c r="L15" s="7"/>
      <c r="M15" s="69" t="s">
        <v>24</v>
      </c>
      <c r="N15" s="69"/>
      <c r="O15" s="111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109" t="s">
        <v>25</v>
      </c>
      <c r="B16" s="110"/>
      <c r="C16" s="7"/>
      <c r="D16" s="69" t="s">
        <v>26</v>
      </c>
      <c r="E16" s="69"/>
      <c r="F16" s="111"/>
      <c r="G16" s="5">
        <v>0.36805555555555558</v>
      </c>
      <c r="H16" s="6">
        <v>0.4513888888888889</v>
      </c>
      <c r="I16" s="4">
        <f t="shared" si="0"/>
        <v>8.3333333333333315E-2</v>
      </c>
      <c r="J16" s="109">
        <v>44855</v>
      </c>
      <c r="K16" s="116"/>
      <c r="L16" s="7"/>
      <c r="M16" s="69" t="s">
        <v>27</v>
      </c>
      <c r="N16" s="69"/>
      <c r="O16" s="111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109" t="s">
        <v>28</v>
      </c>
      <c r="B17" s="110"/>
      <c r="C17" s="7"/>
      <c r="D17" s="69" t="s">
        <v>29</v>
      </c>
      <c r="E17" s="69"/>
      <c r="F17" s="111"/>
      <c r="G17" s="5">
        <v>0.77083333333333337</v>
      </c>
      <c r="H17" s="6">
        <v>0.85416666666666663</v>
      </c>
      <c r="I17" s="4">
        <f t="shared" si="0"/>
        <v>8.3333333333333259E-2</v>
      </c>
      <c r="J17" s="109">
        <v>44877</v>
      </c>
      <c r="K17" s="110"/>
      <c r="L17" s="7"/>
      <c r="M17" s="69" t="s">
        <v>30</v>
      </c>
      <c r="N17" s="69"/>
      <c r="O17" s="111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109" t="s">
        <v>28</v>
      </c>
      <c r="B18" s="110"/>
      <c r="C18" s="7"/>
      <c r="D18" s="69" t="s">
        <v>31</v>
      </c>
      <c r="E18" s="69"/>
      <c r="F18" s="111"/>
      <c r="G18" s="5">
        <v>0.85416666666666663</v>
      </c>
      <c r="H18" s="6">
        <v>0.89583333333333337</v>
      </c>
      <c r="I18" s="4">
        <f t="shared" si="0"/>
        <v>4.1666666666666741E-2</v>
      </c>
      <c r="J18" s="109">
        <v>44846</v>
      </c>
      <c r="K18" s="110"/>
      <c r="L18" s="7"/>
      <c r="M18" s="69" t="s">
        <v>32</v>
      </c>
      <c r="N18" s="69"/>
      <c r="O18" s="111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109">
        <v>44878</v>
      </c>
      <c r="B19" s="110"/>
      <c r="C19" s="7"/>
      <c r="D19" s="69" t="s">
        <v>33</v>
      </c>
      <c r="E19" s="69"/>
      <c r="F19" s="111"/>
      <c r="G19" s="5">
        <v>0.33333333333333331</v>
      </c>
      <c r="H19" s="6">
        <v>0.48958333333333331</v>
      </c>
      <c r="I19" s="4">
        <f t="shared" si="0"/>
        <v>0.15625</v>
      </c>
      <c r="J19" s="109">
        <v>44878</v>
      </c>
      <c r="K19" s="110"/>
      <c r="L19" s="7"/>
      <c r="M19" s="69" t="s">
        <v>34</v>
      </c>
      <c r="N19" s="69"/>
      <c r="O19" s="111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109" t="s">
        <v>35</v>
      </c>
      <c r="B20" s="110"/>
      <c r="C20" s="7"/>
      <c r="D20" s="69" t="s">
        <v>36</v>
      </c>
      <c r="E20" s="69"/>
      <c r="F20" s="111"/>
      <c r="G20" s="5">
        <v>0.41666666666666669</v>
      </c>
      <c r="H20" s="6">
        <v>0.5</v>
      </c>
      <c r="I20" s="4">
        <f t="shared" si="0"/>
        <v>8.3333333333333315E-2</v>
      </c>
      <c r="J20" s="109">
        <v>44879</v>
      </c>
      <c r="K20" s="110"/>
      <c r="L20" s="7"/>
      <c r="M20" s="69" t="s">
        <v>37</v>
      </c>
      <c r="N20" s="69"/>
      <c r="O20" s="111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109" t="s">
        <v>39</v>
      </c>
      <c r="B21" s="110"/>
      <c r="C21" s="7"/>
      <c r="D21" s="69" t="s">
        <v>40</v>
      </c>
      <c r="E21" s="69"/>
      <c r="F21" s="111"/>
      <c r="G21" s="5">
        <v>0.36805555555555558</v>
      </c>
      <c r="H21" s="6">
        <v>0.44722222222222219</v>
      </c>
      <c r="I21" s="4">
        <f t="shared" si="0"/>
        <v>7.9166666666666607E-2</v>
      </c>
      <c r="J21" s="109"/>
      <c r="K21" s="110"/>
      <c r="L21" s="7"/>
      <c r="M21" s="110"/>
      <c r="N21" s="110"/>
      <c r="O21" s="117"/>
      <c r="P21" s="5"/>
      <c r="Q21" s="6"/>
      <c r="R21" s="4">
        <f t="shared" si="1"/>
        <v>0</v>
      </c>
    </row>
    <row r="22" spans="1:18" x14ac:dyDescent="0.3">
      <c r="A22" s="109" t="s">
        <v>39</v>
      </c>
      <c r="B22" s="110"/>
      <c r="C22" s="7"/>
      <c r="D22" s="110" t="s">
        <v>47</v>
      </c>
      <c r="E22" s="110"/>
      <c r="F22" s="117"/>
      <c r="G22" s="5">
        <v>0.45833333333333331</v>
      </c>
      <c r="H22" s="6">
        <v>0.47916666666666669</v>
      </c>
      <c r="I22" s="4">
        <f t="shared" si="0"/>
        <v>2.083333333333337E-2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3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3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3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3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3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18"/>
      <c r="K27" s="110"/>
      <c r="L27" s="7"/>
      <c r="M27" s="110"/>
      <c r="N27" s="110"/>
      <c r="O27" s="117"/>
      <c r="P27" s="7"/>
      <c r="Q27" s="8"/>
      <c r="R27" s="4">
        <f t="shared" si="1"/>
        <v>0</v>
      </c>
    </row>
    <row r="28" spans="1:18" x14ac:dyDescent="0.3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3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3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3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3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3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3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3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3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3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3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3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3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3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9"/>
      <c r="K41" s="120"/>
      <c r="L41" s="7"/>
      <c r="M41" s="110"/>
      <c r="N41" s="110"/>
      <c r="O41" s="117"/>
      <c r="P41" s="9"/>
      <c r="Q41" s="1"/>
      <c r="R41" s="4">
        <f>Q41-P41</f>
        <v>0</v>
      </c>
    </row>
    <row r="42" spans="1:18" x14ac:dyDescent="0.3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8"/>
      <c r="K42" s="110"/>
      <c r="L42" s="7"/>
      <c r="M42" s="110"/>
      <c r="N42" s="110"/>
      <c r="O42" s="117"/>
      <c r="P42" s="7"/>
      <c r="Q42" s="8"/>
      <c r="R42" s="4">
        <f t="shared" ref="R42:R49" si="2">Q42-P42</f>
        <v>0</v>
      </c>
    </row>
    <row r="43" spans="1:18" x14ac:dyDescent="0.3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si="2"/>
        <v>0</v>
      </c>
    </row>
    <row r="44" spans="1:18" x14ac:dyDescent="0.3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3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3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3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3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5" thickBot="1" x14ac:dyDescent="0.3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10"/>
      <c r="M49" s="110"/>
      <c r="N49" s="110"/>
      <c r="O49" s="117"/>
      <c r="P49" s="7"/>
      <c r="Q49" s="8"/>
      <c r="R49" s="4">
        <f t="shared" si="2"/>
        <v>0</v>
      </c>
    </row>
    <row r="50" spans="1:18" ht="15" thickBot="1" x14ac:dyDescent="0.3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0.87777777777777743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0.68888888888888866</v>
      </c>
    </row>
    <row r="51" spans="1:18" ht="15" thickTop="1" x14ac:dyDescent="0.3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topLeftCell="A16" zoomScaleNormal="100" workbookViewId="0">
      <selection activeCell="R50" sqref="R50"/>
    </sheetView>
  </sheetViews>
  <sheetFormatPr defaultColWidth="8.77734375" defaultRowHeight="14.4" x14ac:dyDescent="0.3"/>
  <cols>
    <col min="4" max="6" width="9.109375" style="15"/>
    <col min="16" max="16" width="13" bestFit="1" customWidth="1"/>
  </cols>
  <sheetData>
    <row r="1" spans="1:23" x14ac:dyDescent="0.3">
      <c r="A1" s="78" t="s">
        <v>48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5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5" thickTop="1" x14ac:dyDescent="0.3">
      <c r="A3" s="81" t="s">
        <v>6</v>
      </c>
      <c r="B3" s="82"/>
      <c r="C3" s="83" t="s">
        <v>49</v>
      </c>
      <c r="D3" s="84"/>
      <c r="E3" s="84"/>
      <c r="F3" s="84"/>
      <c r="G3" s="84"/>
      <c r="H3" s="84"/>
      <c r="I3" s="85"/>
      <c r="J3" s="81" t="s">
        <v>6</v>
      </c>
      <c r="K3" s="82"/>
      <c r="L3" s="83" t="s">
        <v>49</v>
      </c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3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3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5" thickBot="1" x14ac:dyDescent="0.3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5" thickBot="1" x14ac:dyDescent="0.3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5" thickTop="1" x14ac:dyDescent="0.3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3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3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5" thickBot="1" x14ac:dyDescent="0.3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3">
      <c r="A12" s="112" t="s">
        <v>50</v>
      </c>
      <c r="B12" s="113"/>
      <c r="C12" s="14"/>
      <c r="D12" s="114" t="s">
        <v>51</v>
      </c>
      <c r="E12" s="114"/>
      <c r="F12" s="115"/>
      <c r="G12" s="2">
        <v>0.33333333333333331</v>
      </c>
      <c r="H12" s="3">
        <v>0.5</v>
      </c>
      <c r="I12" s="4">
        <f>H12-G12</f>
        <v>0.16666666666666669</v>
      </c>
      <c r="J12" s="109">
        <v>44881</v>
      </c>
      <c r="K12" s="110"/>
      <c r="L12" s="14"/>
      <c r="M12" s="125" t="s">
        <v>64</v>
      </c>
      <c r="N12" s="125"/>
      <c r="O12" s="126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3">
      <c r="A13" s="109">
        <v>44881</v>
      </c>
      <c r="B13" s="110"/>
      <c r="C13" s="7"/>
      <c r="D13" s="69" t="s">
        <v>52</v>
      </c>
      <c r="E13" s="69"/>
      <c r="F13" s="111"/>
      <c r="G13" s="5">
        <v>0.6166666666666667</v>
      </c>
      <c r="H13" s="6">
        <v>0.71597222222222223</v>
      </c>
      <c r="I13" s="20">
        <f>H13-G13</f>
        <v>9.9305555555555536E-2</v>
      </c>
      <c r="J13" s="109">
        <v>44891</v>
      </c>
      <c r="K13" s="117"/>
      <c r="M13" s="125" t="s">
        <v>66</v>
      </c>
      <c r="N13" s="125"/>
      <c r="O13" s="126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3">
      <c r="A14" s="109" t="s">
        <v>53</v>
      </c>
      <c r="B14" s="110"/>
      <c r="C14" s="7"/>
      <c r="D14" s="69" t="s">
        <v>54</v>
      </c>
      <c r="E14" s="69"/>
      <c r="F14" s="111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109">
        <v>44892</v>
      </c>
      <c r="K14" s="117"/>
      <c r="M14" s="125" t="s">
        <v>65</v>
      </c>
      <c r="N14" s="125"/>
      <c r="O14" s="126"/>
      <c r="P14" s="5">
        <v>0.75</v>
      </c>
      <c r="Q14" s="6">
        <v>0.8125</v>
      </c>
      <c r="R14" s="4">
        <f>Q14-P14</f>
        <v>6.25E-2</v>
      </c>
    </row>
    <row r="15" spans="1:23" x14ac:dyDescent="0.3">
      <c r="A15" s="109" t="s">
        <v>53</v>
      </c>
      <c r="B15" s="110"/>
      <c r="C15" s="7"/>
      <c r="D15" s="69" t="s">
        <v>55</v>
      </c>
      <c r="E15" s="69"/>
      <c r="F15" s="111"/>
      <c r="G15" s="5">
        <v>0.53611111111111109</v>
      </c>
      <c r="H15" s="6">
        <v>0.56597222222222221</v>
      </c>
      <c r="I15" s="4">
        <f t="shared" si="0"/>
        <v>2.9861111111111116E-2</v>
      </c>
      <c r="J15" s="109">
        <v>44893</v>
      </c>
      <c r="K15" s="117"/>
      <c r="L15" s="22"/>
      <c r="M15" s="125" t="s">
        <v>63</v>
      </c>
      <c r="N15" s="125"/>
      <c r="O15" s="126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3">
      <c r="A16" s="109" t="s">
        <v>53</v>
      </c>
      <c r="B16" s="110"/>
      <c r="C16" s="7"/>
      <c r="D16" s="69" t="s">
        <v>56</v>
      </c>
      <c r="E16" s="69"/>
      <c r="F16" s="111"/>
      <c r="G16" s="5">
        <v>0.56944444444444442</v>
      </c>
      <c r="H16" s="6">
        <v>0.60902777777777783</v>
      </c>
      <c r="I16" s="4">
        <f t="shared" si="0"/>
        <v>3.9583333333333415E-2</v>
      </c>
      <c r="J16" s="109">
        <v>44893</v>
      </c>
      <c r="K16" s="117"/>
      <c r="L16" s="22"/>
      <c r="M16" s="125" t="s">
        <v>69</v>
      </c>
      <c r="N16" s="125"/>
      <c r="O16" s="126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3">
      <c r="A17" s="109" t="s">
        <v>57</v>
      </c>
      <c r="B17" s="110"/>
      <c r="C17" s="7"/>
      <c r="D17" s="69" t="s">
        <v>58</v>
      </c>
      <c r="E17" s="69"/>
      <c r="F17" s="111"/>
      <c r="G17" s="5">
        <v>0.5</v>
      </c>
      <c r="H17" s="6">
        <v>0.53819444444444442</v>
      </c>
      <c r="I17" s="4">
        <f t="shared" si="0"/>
        <v>3.819444444444442E-2</v>
      </c>
      <c r="J17" s="109"/>
      <c r="K17" s="110"/>
      <c r="L17" s="7"/>
      <c r="M17" s="69"/>
      <c r="N17" s="69"/>
      <c r="O17" s="111"/>
      <c r="P17" s="5"/>
      <c r="Q17" s="6"/>
      <c r="R17" s="4">
        <f>Q17-P17</f>
        <v>0</v>
      </c>
    </row>
    <row r="18" spans="1:18" x14ac:dyDescent="0.3">
      <c r="A18" s="109" t="s">
        <v>59</v>
      </c>
      <c r="B18" s="110"/>
      <c r="C18" s="7"/>
      <c r="D18" s="69" t="s">
        <v>60</v>
      </c>
      <c r="E18" s="69"/>
      <c r="F18" s="111"/>
      <c r="G18" s="5">
        <v>0.58333333333333337</v>
      </c>
      <c r="H18" s="6">
        <v>0.66875000000000007</v>
      </c>
      <c r="I18" s="4">
        <f t="shared" si="0"/>
        <v>8.5416666666666696E-2</v>
      </c>
      <c r="J18" s="109"/>
      <c r="K18" s="110"/>
      <c r="L18" s="7"/>
      <c r="M18" s="69"/>
      <c r="N18" s="69"/>
      <c r="O18" s="111"/>
      <c r="P18" s="5"/>
      <c r="Q18" s="6"/>
      <c r="R18" s="4">
        <f t="shared" si="1"/>
        <v>0</v>
      </c>
    </row>
    <row r="19" spans="1:18" x14ac:dyDescent="0.3">
      <c r="A19" s="109" t="s">
        <v>61</v>
      </c>
      <c r="B19" s="110"/>
      <c r="C19" s="7"/>
      <c r="D19" s="69" t="s">
        <v>62</v>
      </c>
      <c r="E19" s="69"/>
      <c r="F19" s="111"/>
      <c r="G19" s="5">
        <v>0.41666666666666669</v>
      </c>
      <c r="H19" s="6">
        <v>0.55486111111111114</v>
      </c>
      <c r="I19" s="4">
        <f t="shared" si="0"/>
        <v>0.13819444444444445</v>
      </c>
      <c r="J19" s="109"/>
      <c r="K19" s="110"/>
      <c r="L19" s="7"/>
      <c r="M19" s="69"/>
      <c r="N19" s="69"/>
      <c r="O19" s="111"/>
      <c r="P19" s="5"/>
      <c r="Q19" s="6"/>
      <c r="R19" s="4">
        <f t="shared" si="1"/>
        <v>0</v>
      </c>
    </row>
    <row r="20" spans="1:18" x14ac:dyDescent="0.3">
      <c r="A20" s="109" t="s">
        <v>67</v>
      </c>
      <c r="B20" s="110"/>
      <c r="C20" s="7"/>
      <c r="D20" s="69" t="s">
        <v>68</v>
      </c>
      <c r="E20" s="69"/>
      <c r="F20" s="111"/>
      <c r="G20" s="5">
        <v>0.33333333333333331</v>
      </c>
      <c r="H20" s="6">
        <v>0.4375</v>
      </c>
      <c r="I20" s="4">
        <f t="shared" si="0"/>
        <v>0.10416666666666669</v>
      </c>
      <c r="J20" s="109"/>
      <c r="K20" s="110"/>
      <c r="L20" s="7"/>
      <c r="M20" s="69"/>
      <c r="N20" s="69"/>
      <c r="O20" s="111"/>
      <c r="P20" s="5"/>
      <c r="Q20" s="6"/>
      <c r="R20" s="4">
        <f>Q20-P20</f>
        <v>0</v>
      </c>
    </row>
    <row r="21" spans="1:18" x14ac:dyDescent="0.3">
      <c r="A21" s="109" t="s">
        <v>67</v>
      </c>
      <c r="B21" s="110"/>
      <c r="C21" s="7"/>
      <c r="D21" s="69" t="s">
        <v>70</v>
      </c>
      <c r="E21" s="69"/>
      <c r="F21" s="111"/>
      <c r="G21" s="5">
        <v>0.44791666666666669</v>
      </c>
      <c r="H21" s="6">
        <v>0.48958333333333331</v>
      </c>
      <c r="I21" s="4">
        <f t="shared" si="0"/>
        <v>4.166666666666663E-2</v>
      </c>
      <c r="J21" s="109"/>
      <c r="K21" s="110"/>
      <c r="L21" s="7"/>
      <c r="M21" s="69"/>
      <c r="N21" s="69"/>
      <c r="O21" s="111"/>
      <c r="P21" s="5"/>
      <c r="Q21" s="6"/>
      <c r="R21" s="4">
        <f t="shared" si="1"/>
        <v>0</v>
      </c>
    </row>
    <row r="22" spans="1:18" x14ac:dyDescent="0.3">
      <c r="A22" s="109"/>
      <c r="B22" s="110"/>
      <c r="C22" s="7"/>
      <c r="D22" s="110"/>
      <c r="E22" s="110"/>
      <c r="F22" s="117"/>
      <c r="G22" s="5"/>
      <c r="H22" s="6"/>
      <c r="I22" s="4">
        <f t="shared" si="0"/>
        <v>0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3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3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3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3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3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09"/>
      <c r="K27" s="110"/>
      <c r="L27" s="7"/>
      <c r="M27" s="110"/>
      <c r="N27" s="110"/>
      <c r="O27" s="117"/>
      <c r="P27" s="5"/>
      <c r="Q27" s="6"/>
      <c r="R27" s="4">
        <f t="shared" si="1"/>
        <v>0</v>
      </c>
    </row>
    <row r="28" spans="1:18" x14ac:dyDescent="0.3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3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3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3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3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3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3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3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3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3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3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3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3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3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8"/>
      <c r="K41" s="110"/>
      <c r="L41" s="7"/>
      <c r="M41" s="110"/>
      <c r="N41" s="110"/>
      <c r="O41" s="117"/>
      <c r="P41" s="7"/>
      <c r="Q41" s="8"/>
      <c r="R41" s="4">
        <f t="shared" si="1"/>
        <v>0</v>
      </c>
    </row>
    <row r="42" spans="1:18" x14ac:dyDescent="0.3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9"/>
      <c r="K42" s="120"/>
      <c r="L42" s="7"/>
      <c r="M42" s="110"/>
      <c r="N42" s="110"/>
      <c r="O42" s="117"/>
      <c r="P42" s="9"/>
      <c r="Q42" s="1"/>
      <c r="R42" s="4">
        <f>Q42-P42</f>
        <v>0</v>
      </c>
    </row>
    <row r="43" spans="1:18" x14ac:dyDescent="0.3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ref="R43:R49" si="2">Q43-P43</f>
        <v>0</v>
      </c>
    </row>
    <row r="44" spans="1:18" x14ac:dyDescent="0.3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3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3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3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3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5" thickBot="1" x14ac:dyDescent="0.3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7"/>
      <c r="M49" s="110"/>
      <c r="N49" s="110"/>
      <c r="O49" s="117"/>
      <c r="P49" s="7"/>
      <c r="Q49" s="8"/>
      <c r="R49" s="4">
        <f t="shared" si="2"/>
        <v>0</v>
      </c>
    </row>
    <row r="50" spans="1:18" ht="15" thickBot="1" x14ac:dyDescent="0.3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0.80347222222222248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0.43055555555555552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1063-F0B5-4C13-B99D-B96522D859C3}">
  <dimension ref="A1:W51"/>
  <sheetViews>
    <sheetView tabSelected="1" workbookViewId="0">
      <selection activeCell="H24" sqref="H24"/>
    </sheetView>
  </sheetViews>
  <sheetFormatPr defaultColWidth="8.77734375" defaultRowHeight="14.4" x14ac:dyDescent="0.3"/>
  <cols>
    <col min="4" max="6" width="8.77734375" style="15"/>
  </cols>
  <sheetData>
    <row r="1" spans="1:23" x14ac:dyDescent="0.3">
      <c r="A1" s="78" t="s">
        <v>71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5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5" thickTop="1" x14ac:dyDescent="0.3">
      <c r="A3" s="81" t="s">
        <v>6</v>
      </c>
      <c r="B3" s="82"/>
      <c r="C3" s="83" t="s">
        <v>72</v>
      </c>
      <c r="D3" s="84"/>
      <c r="E3" s="84"/>
      <c r="F3" s="84"/>
      <c r="G3" s="84"/>
      <c r="H3" s="84"/>
      <c r="I3" s="85"/>
      <c r="J3" s="81" t="s">
        <v>6</v>
      </c>
      <c r="K3" s="82"/>
      <c r="L3" s="83" t="s">
        <v>72</v>
      </c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3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3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5" thickBot="1" x14ac:dyDescent="0.3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5" thickBot="1" x14ac:dyDescent="0.3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5" thickTop="1" x14ac:dyDescent="0.3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3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3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5" thickBot="1" x14ac:dyDescent="0.3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3">
      <c r="A12" s="112"/>
      <c r="B12" s="113"/>
      <c r="C12" s="14"/>
      <c r="D12" s="114"/>
      <c r="E12" s="114"/>
      <c r="F12" s="115"/>
      <c r="G12" s="2"/>
      <c r="H12" s="3"/>
      <c r="I12" s="4">
        <f>H12-G12</f>
        <v>0</v>
      </c>
      <c r="J12" s="112"/>
      <c r="K12" s="113"/>
      <c r="L12" s="14"/>
      <c r="M12" s="69"/>
      <c r="N12" s="69"/>
      <c r="O12" s="111"/>
      <c r="P12" s="2"/>
      <c r="Q12" s="3"/>
      <c r="R12" s="4">
        <f>Q12-P12</f>
        <v>0</v>
      </c>
    </row>
    <row r="13" spans="1:23" x14ac:dyDescent="0.3">
      <c r="A13" s="109"/>
      <c r="B13" s="110"/>
      <c r="C13" s="7"/>
      <c r="D13" s="69"/>
      <c r="E13" s="69"/>
      <c r="F13" s="111"/>
      <c r="G13" s="5"/>
      <c r="H13" s="6"/>
      <c r="I13" s="4">
        <f>H13-G13</f>
        <v>0</v>
      </c>
      <c r="J13" s="109"/>
      <c r="K13" s="110"/>
      <c r="L13" s="7"/>
      <c r="M13" s="69"/>
      <c r="N13" s="69"/>
      <c r="O13" s="111"/>
      <c r="P13" s="5"/>
      <c r="Q13" s="6"/>
      <c r="R13" s="4">
        <f>Q13-P13</f>
        <v>0</v>
      </c>
    </row>
    <row r="14" spans="1:23" x14ac:dyDescent="0.3">
      <c r="A14" s="109"/>
      <c r="B14" s="110"/>
      <c r="C14" s="7"/>
      <c r="D14" s="69"/>
      <c r="E14" s="69"/>
      <c r="F14" s="111"/>
      <c r="G14" s="5"/>
      <c r="H14" s="6"/>
      <c r="I14" s="4">
        <f t="shared" ref="I14:I49" si="0">H14-G14</f>
        <v>0</v>
      </c>
      <c r="J14" s="109"/>
      <c r="K14" s="110"/>
      <c r="L14" s="17"/>
      <c r="M14" s="69"/>
      <c r="N14" s="69"/>
      <c r="O14" s="111"/>
      <c r="P14" s="5"/>
      <c r="Q14" s="6"/>
      <c r="R14" s="4">
        <f t="shared" ref="R14:R40" si="1">Q14-P14</f>
        <v>0</v>
      </c>
    </row>
    <row r="15" spans="1:23" x14ac:dyDescent="0.3">
      <c r="A15" s="109"/>
      <c r="B15" s="110"/>
      <c r="C15" s="7"/>
      <c r="D15" s="69"/>
      <c r="E15" s="69"/>
      <c r="F15" s="111"/>
      <c r="G15" s="5"/>
      <c r="H15" s="6"/>
      <c r="I15" s="4">
        <f t="shared" si="0"/>
        <v>0</v>
      </c>
      <c r="J15" s="109"/>
      <c r="K15" s="110"/>
      <c r="L15" s="7"/>
      <c r="M15" s="69"/>
      <c r="N15" s="69"/>
      <c r="O15" s="111"/>
      <c r="P15" s="5"/>
      <c r="Q15" s="6"/>
      <c r="R15" s="4">
        <f t="shared" si="1"/>
        <v>0</v>
      </c>
    </row>
    <row r="16" spans="1:23" x14ac:dyDescent="0.3">
      <c r="A16" s="109"/>
      <c r="B16" s="110"/>
      <c r="C16" s="7"/>
      <c r="D16" s="69"/>
      <c r="E16" s="69"/>
      <c r="F16" s="111"/>
      <c r="G16" s="5"/>
      <c r="H16" s="6"/>
      <c r="I16" s="4">
        <f t="shared" si="0"/>
        <v>0</v>
      </c>
      <c r="J16" s="109"/>
      <c r="K16" s="116"/>
      <c r="L16" s="7"/>
      <c r="M16" s="69"/>
      <c r="N16" s="69"/>
      <c r="O16" s="111"/>
      <c r="P16" s="5"/>
      <c r="Q16" s="6"/>
      <c r="R16" s="4">
        <f>Q16-P16</f>
        <v>0</v>
      </c>
    </row>
    <row r="17" spans="1:18" x14ac:dyDescent="0.3">
      <c r="A17" s="109"/>
      <c r="B17" s="110"/>
      <c r="C17" s="7"/>
      <c r="D17" s="69"/>
      <c r="E17" s="69"/>
      <c r="F17" s="111"/>
      <c r="G17" s="5"/>
      <c r="H17" s="6"/>
      <c r="I17" s="4">
        <f t="shared" si="0"/>
        <v>0</v>
      </c>
      <c r="J17" s="109"/>
      <c r="K17" s="110"/>
      <c r="L17" s="7"/>
      <c r="M17" s="69"/>
      <c r="N17" s="69"/>
      <c r="O17" s="111"/>
      <c r="P17" s="5"/>
      <c r="Q17" s="6"/>
      <c r="R17" s="4">
        <f t="shared" si="1"/>
        <v>0</v>
      </c>
    </row>
    <row r="18" spans="1:18" x14ac:dyDescent="0.3">
      <c r="A18" s="109"/>
      <c r="B18" s="110"/>
      <c r="C18" s="7"/>
      <c r="D18" s="69"/>
      <c r="E18" s="69"/>
      <c r="F18" s="111"/>
      <c r="G18" s="5"/>
      <c r="H18" s="6"/>
      <c r="I18" s="4">
        <f t="shared" si="0"/>
        <v>0</v>
      </c>
      <c r="J18" s="109"/>
      <c r="K18" s="110"/>
      <c r="L18" s="7"/>
      <c r="M18" s="69"/>
      <c r="N18" s="69"/>
      <c r="O18" s="111"/>
      <c r="P18" s="5"/>
      <c r="Q18" s="6"/>
      <c r="R18" s="4">
        <f t="shared" si="1"/>
        <v>0</v>
      </c>
    </row>
    <row r="19" spans="1:18" x14ac:dyDescent="0.3">
      <c r="A19" s="109"/>
      <c r="B19" s="110"/>
      <c r="C19" s="7"/>
      <c r="D19" s="69"/>
      <c r="E19" s="69"/>
      <c r="F19" s="111"/>
      <c r="G19" s="5"/>
      <c r="H19" s="6"/>
      <c r="I19" s="4">
        <f t="shared" si="0"/>
        <v>0</v>
      </c>
      <c r="J19" s="109"/>
      <c r="K19" s="110"/>
      <c r="L19" s="7"/>
      <c r="M19" s="69"/>
      <c r="N19" s="69"/>
      <c r="O19" s="111"/>
      <c r="P19" s="5"/>
      <c r="Q19" s="6"/>
      <c r="R19" s="4">
        <f>Q19-P19</f>
        <v>0</v>
      </c>
    </row>
    <row r="20" spans="1:18" x14ac:dyDescent="0.3">
      <c r="A20" s="109"/>
      <c r="B20" s="110"/>
      <c r="C20" s="7"/>
      <c r="D20" s="69"/>
      <c r="E20" s="69"/>
      <c r="F20" s="111"/>
      <c r="G20" s="5"/>
      <c r="H20" s="6"/>
      <c r="I20" s="4">
        <f t="shared" si="0"/>
        <v>0</v>
      </c>
      <c r="J20" s="109"/>
      <c r="K20" s="110"/>
      <c r="L20" s="7"/>
      <c r="M20" s="69"/>
      <c r="N20" s="69"/>
      <c r="O20" s="111"/>
      <c r="P20" s="5"/>
      <c r="Q20" s="6"/>
      <c r="R20" s="4">
        <f t="shared" si="1"/>
        <v>0</v>
      </c>
    </row>
    <row r="21" spans="1:18" x14ac:dyDescent="0.3">
      <c r="A21" s="109"/>
      <c r="B21" s="110"/>
      <c r="C21" s="7"/>
      <c r="D21" s="69"/>
      <c r="E21" s="69"/>
      <c r="F21" s="111"/>
      <c r="G21" s="5"/>
      <c r="H21" s="6"/>
      <c r="I21" s="4">
        <f t="shared" si="0"/>
        <v>0</v>
      </c>
      <c r="J21" s="109"/>
      <c r="K21" s="110"/>
      <c r="L21" s="7"/>
      <c r="M21" s="110"/>
      <c r="N21" s="110"/>
      <c r="O21" s="117"/>
      <c r="P21" s="5"/>
      <c r="Q21" s="6"/>
      <c r="R21" s="4">
        <f t="shared" si="1"/>
        <v>0</v>
      </c>
    </row>
    <row r="22" spans="1:18" x14ac:dyDescent="0.3">
      <c r="A22" s="109"/>
      <c r="B22" s="110"/>
      <c r="C22" s="7"/>
      <c r="D22" s="110"/>
      <c r="E22" s="110"/>
      <c r="F22" s="117"/>
      <c r="G22" s="5"/>
      <c r="H22" s="6"/>
      <c r="I22" s="4">
        <f t="shared" si="0"/>
        <v>0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3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3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3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3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3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18"/>
      <c r="K27" s="110"/>
      <c r="L27" s="7"/>
      <c r="M27" s="110"/>
      <c r="N27" s="110"/>
      <c r="O27" s="117"/>
      <c r="P27" s="7"/>
      <c r="Q27" s="8"/>
      <c r="R27" s="4">
        <f t="shared" si="1"/>
        <v>0</v>
      </c>
    </row>
    <row r="28" spans="1:18" x14ac:dyDescent="0.3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3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3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3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3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3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3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3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3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3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3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3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3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3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9"/>
      <c r="K41" s="120"/>
      <c r="L41" s="7"/>
      <c r="M41" s="110"/>
      <c r="N41" s="110"/>
      <c r="O41" s="117"/>
      <c r="P41" s="9"/>
      <c r="Q41" s="1"/>
      <c r="R41" s="4">
        <f>Q41-P41</f>
        <v>0</v>
      </c>
    </row>
    <row r="42" spans="1:18" x14ac:dyDescent="0.3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8"/>
      <c r="K42" s="110"/>
      <c r="L42" s="7"/>
      <c r="M42" s="110"/>
      <c r="N42" s="110"/>
      <c r="O42" s="117"/>
      <c r="P42" s="7"/>
      <c r="Q42" s="8"/>
      <c r="R42" s="4">
        <f t="shared" ref="R42:R49" si="2">Q42-P42</f>
        <v>0</v>
      </c>
    </row>
    <row r="43" spans="1:18" x14ac:dyDescent="0.3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si="2"/>
        <v>0</v>
      </c>
    </row>
    <row r="44" spans="1:18" x14ac:dyDescent="0.3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3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3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3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3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5" thickBot="1" x14ac:dyDescent="0.3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10"/>
      <c r="M49" s="110"/>
      <c r="N49" s="110"/>
      <c r="O49" s="117"/>
      <c r="P49" s="7"/>
      <c r="Q49" s="8"/>
      <c r="R49" s="4">
        <f t="shared" si="2"/>
        <v>0</v>
      </c>
    </row>
    <row r="50" spans="1:18" ht="15" thickBot="1" x14ac:dyDescent="0.3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2022-11-29T12:16:43Z</dcterms:modified>
  <cp:category/>
  <cp:contentStatus/>
</cp:coreProperties>
</file>