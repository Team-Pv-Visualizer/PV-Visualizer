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E9376A7A-0F1B-ED41-92A9-9A3BFFF9CC39}" xr6:coauthVersionLast="47" xr6:coauthVersionMax="47" xr10:uidLastSave="{00000000-0000-0000-0000-000000000000}"/>
  <bookViews>
    <workbookView xWindow="0" yWindow="740" windowWidth="30240" windowHeight="18900" activeTab="10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  <sheet name="Sprint 6" sheetId="14" r:id="rId10"/>
    <sheet name="Sprint 7" sheetId="15" r:id="rId1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5" l="1"/>
  <c r="I49" i="15"/>
  <c r="R48" i="15"/>
  <c r="I48" i="15"/>
  <c r="R47" i="15"/>
  <c r="I47" i="15"/>
  <c r="R46" i="15"/>
  <c r="I46" i="15"/>
  <c r="R45" i="15"/>
  <c r="I45" i="15"/>
  <c r="R44" i="15"/>
  <c r="I44" i="15"/>
  <c r="R43" i="15"/>
  <c r="I43" i="15"/>
  <c r="R42" i="15"/>
  <c r="I42" i="15"/>
  <c r="R41" i="15"/>
  <c r="I41" i="15"/>
  <c r="R40" i="15"/>
  <c r="I40" i="15"/>
  <c r="R39" i="15"/>
  <c r="I39" i="15"/>
  <c r="R38" i="15"/>
  <c r="I38" i="15"/>
  <c r="R37" i="15"/>
  <c r="I37" i="15"/>
  <c r="R36" i="15"/>
  <c r="I36" i="15"/>
  <c r="R35" i="15"/>
  <c r="I35" i="15"/>
  <c r="R34" i="15"/>
  <c r="I34" i="15"/>
  <c r="R33" i="15"/>
  <c r="I33" i="15"/>
  <c r="R32" i="15"/>
  <c r="I32" i="15"/>
  <c r="R31" i="15"/>
  <c r="I31" i="15"/>
  <c r="R30" i="15"/>
  <c r="I30" i="15"/>
  <c r="R29" i="15"/>
  <c r="I29" i="15"/>
  <c r="R28" i="15"/>
  <c r="I28" i="15"/>
  <c r="R27" i="15"/>
  <c r="I27" i="15"/>
  <c r="R26" i="15"/>
  <c r="I26" i="15"/>
  <c r="R25" i="15"/>
  <c r="I25" i="15"/>
  <c r="R24" i="15"/>
  <c r="I24" i="15"/>
  <c r="R23" i="15"/>
  <c r="I23" i="15"/>
  <c r="R22" i="15"/>
  <c r="I22" i="15"/>
  <c r="R21" i="15"/>
  <c r="I21" i="15"/>
  <c r="R20" i="15"/>
  <c r="I20" i="15"/>
  <c r="R19" i="15"/>
  <c r="I19" i="15"/>
  <c r="R18" i="15"/>
  <c r="I18" i="15"/>
  <c r="I17" i="15"/>
  <c r="I16" i="15"/>
  <c r="I15" i="15"/>
  <c r="I14" i="15"/>
  <c r="I13" i="15"/>
  <c r="R12" i="15"/>
  <c r="I12" i="15"/>
  <c r="I50" i="15" s="1"/>
  <c r="A4" i="2"/>
  <c r="R49" i="14"/>
  <c r="I49" i="14"/>
  <c r="R48" i="14"/>
  <c r="I48" i="14"/>
  <c r="R47" i="14"/>
  <c r="I47" i="14"/>
  <c r="R46" i="14"/>
  <c r="I46" i="14"/>
  <c r="R45" i="14"/>
  <c r="I45" i="14"/>
  <c r="R44" i="14"/>
  <c r="I44" i="14"/>
  <c r="R43" i="14"/>
  <c r="I43" i="14"/>
  <c r="R42" i="14"/>
  <c r="I42" i="14"/>
  <c r="R41" i="14"/>
  <c r="I41" i="14"/>
  <c r="R40" i="14"/>
  <c r="I40" i="14"/>
  <c r="R39" i="14"/>
  <c r="I39" i="14"/>
  <c r="R38" i="14"/>
  <c r="I38" i="14"/>
  <c r="R37" i="14"/>
  <c r="I37" i="14"/>
  <c r="R36" i="14"/>
  <c r="I36" i="14"/>
  <c r="R35" i="14"/>
  <c r="I35" i="14"/>
  <c r="R34" i="14"/>
  <c r="I34" i="14"/>
  <c r="R33" i="14"/>
  <c r="I33" i="14"/>
  <c r="R32" i="14"/>
  <c r="I32" i="14"/>
  <c r="R31" i="14"/>
  <c r="I31" i="14"/>
  <c r="R30" i="14"/>
  <c r="I30" i="14"/>
  <c r="R29" i="14"/>
  <c r="I29" i="14"/>
  <c r="R28" i="14"/>
  <c r="I28" i="14"/>
  <c r="R27" i="14"/>
  <c r="I27" i="14"/>
  <c r="R26" i="14"/>
  <c r="I26" i="14"/>
  <c r="R25" i="14"/>
  <c r="I25" i="14"/>
  <c r="R24" i="14"/>
  <c r="I24" i="14"/>
  <c r="R23" i="14"/>
  <c r="I23" i="14"/>
  <c r="R22" i="14"/>
  <c r="I22" i="14"/>
  <c r="R21" i="14"/>
  <c r="I21" i="14"/>
  <c r="R20" i="14"/>
  <c r="I20" i="14"/>
  <c r="R19" i="14"/>
  <c r="I19" i="14"/>
  <c r="R18" i="14"/>
  <c r="I18" i="14"/>
  <c r="I17" i="14"/>
  <c r="I16" i="14"/>
  <c r="I15" i="14"/>
  <c r="I14" i="14"/>
  <c r="I13" i="14"/>
  <c r="R12" i="14"/>
  <c r="I12" i="14"/>
  <c r="A17" i="2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30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43" i="2"/>
  <c r="A56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R50" i="15" l="1"/>
  <c r="I50" i="14"/>
  <c r="R50" i="14"/>
  <c r="I50" i="13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69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<sst xmlns="http://schemas.openxmlformats.org/spreadsheetml/2006/main" count="417" uniqueCount="137">
  <si>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</si>
  <si>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</si>
  <si>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</si>
  <si>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</si>
  <si>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</si>
  <si>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</si>
  <si>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</si>
  <si>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</si>
  <si>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</si>
  <si>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</si>
  <si>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</si>
  <si>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</si>
  <si>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</si>
  <si>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</si>
  <si>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</si>
  <si>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</si>
  <si>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</si>
  <si>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</si>
  <si>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</si>
  <si>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</si>
  <si>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</si>
  <si>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</si>
  <si>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</si>
  <si>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</si>
  <si>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</si>
  <si>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</si>
  <si>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</si>
  <si>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</si>
  <si>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</si>
  <si>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</si>
  <si>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</si>
  <si>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</si>
  <si>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</si>
  <si>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</si>
  <si>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</si>
  <si>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</si>
  <si>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</si>
  <si>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</si>
  <si>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</si>
  <si>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</si>
  <si>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</si>
  <si>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</si>
  <si>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</si>
  <si>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</si>
  <si>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</si>
  <si>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</si>
  <si>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</si>
  <si>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</si>
  <si>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</si>
  <si>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</si>
  <si>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</si>
  <si>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</si>
  <si>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</si>
  <si>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</si>
  <si>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</si>
  <si>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</si>
  <si>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</si>
  <si>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</si>
  <si>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</si>
  <si>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</si>
  <si>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</si>
  <si>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</si>
  <si>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</si>
  <si>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</si>
  <si>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</si>
  <si>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</si>
  <si>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</si>
  <si>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</si>
  <si>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</si>
  <si>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</si>
  <si>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</si>
  <si>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</si>
  <si>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</si>
  <si>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</si>
  <si>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</si>
  <si>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</si>
  <si>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</si>
  <si>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</si>
  <si>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</si>
  <si>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</si>
  <si>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</si>
  <si>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</si>
  <si>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</si>
  <si>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</si>
  <si>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</si>
  <si>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</si>
  <si>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</si>
  <si>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</si>
  <si>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</si>
  <si>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</si>
  <si>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</si>
  <si>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</si>
  <si>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</si>
  <si>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</si>
  <si>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</si>
  <si>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</si>
  <si>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</si>
  <si>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</si>
  <si>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</si>
  <si>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</si>
  <si>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</si>
  <si>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</si>
  <si>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</si>
  <si>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</si>
  <si>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</si>
  <si>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</si>
  <si>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</si>
  <si>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</si>
  <si>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</si>
  <si>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</si>
  <si>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</si>
  <si>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</si>
  <si>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</si>
  <si>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</si>
  <si>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</si>
  <si>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</si>
  <si>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</si>
  <si>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</si>
  <si>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</si>
  <si>
    <t>New functions in Quarkus Backend (callupmethod(), saveSettings() function)</t>
  </si>
  <si>
    <t>changes to UI of website</t>
  </si>
  <si>
    <t>Clean Repo | Team Besprechung</t>
  </si>
  <si>
    <t>Reasearch php connection to MySQL database  | Team Besprechung</t>
  </si>
  <si>
    <t>New Project to get Cookie from Fronius</t>
  </si>
  <si>
    <t>Update on Backend and Frontend</t>
  </si>
  <si>
    <t>Error php file and fix Grafana D. and Std refresh</t>
  </si>
  <si>
    <t>Sprint 6</t>
  </si>
  <si>
    <t>21.02.2023 bis 07.03.2023</t>
  </si>
  <si>
    <t>Databse connection  in Quarkus client</t>
  </si>
  <si>
    <t>Team Besprechung</t>
  </si>
  <si>
    <t>07.03.2023 bis 21.03.2023</t>
  </si>
  <si>
    <t>Project Award Presentation</t>
  </si>
  <si>
    <t>User Antrag für PvSystemId Funktion</t>
  </si>
  <si>
    <t>New UI + new features on website</t>
  </si>
  <si>
    <t>MySQL auf Server aufsetzen</t>
  </si>
  <si>
    <t>Migrating the application to server</t>
  </si>
  <si>
    <t>Migrating final application to 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</si>
</sst>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3F3F3F"/>
      </bottom>
      <diagonal/>
    </border>
    <border>
      <left/>
      <right style="medium">
        <color rgb="FF000000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53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0" fillId="0" borderId="24" xfId="0" applyBorder="1"/>
    <xf numFmtId="20" fontId="4" fillId="3" borderId="53" xfId="0" applyNumberFormat="1" applyFont="1" applyFill="1" applyBorder="1" applyAlignment="1">
      <alignment horizontal="center"/>
    </xf>
    <xf numFmtId="0" fontId="10" fillId="0" borderId="1" xfId="0" applyFont="1" applyBorder="1"/>
    <xf numFmtId="20" fontId="9" fillId="0" borderId="1" xfId="0" applyNumberFormat="1" applyFont="1" applyBorder="1"/>
    <xf numFmtId="20" fontId="9" fillId="0" borderId="70" xfId="0" applyNumberFormat="1" applyFont="1" applyBorder="1"/>
    <xf numFmtId="20" fontId="4" fillId="3" borderId="73" xfId="0" applyNumberFormat="1" applyFont="1" applyFill="1" applyBorder="1" applyAlignment="1">
      <alignment horizontal="center"/>
    </xf>
    <xf numFmtId="20" fontId="9" fillId="0" borderId="49" xfId="0" applyNumberFormat="1" applyFont="1" applyBorder="1"/>
    <xf numFmtId="20" fontId="9" fillId="0" borderId="52" xfId="0" applyNumberFormat="1" applyFont="1" applyBorder="1"/>
    <xf numFmtId="0" fontId="9" fillId="0" borderId="1" xfId="0" applyFon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0" fillId="0" borderId="51" xfId="0" applyNumberFormat="1" applyBorder="1" applyAlignment="1">
      <alignment horizontal="center"/>
    </xf>
    <xf numFmtId="14" fontId="9" fillId="0" borderId="33" xfId="0" applyNumberFormat="1" applyFont="1" applyBorder="1" applyAlignment="1">
      <alignment horizontal="center"/>
    </xf>
    <xf numFmtId="14" fontId="9" fillId="0" borderId="24" xfId="0" applyNumberFormat="1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14" fontId="9" fillId="0" borderId="72" xfId="0" applyNumberFormat="1" applyFont="1" applyBorder="1" applyAlignment="1">
      <alignment horizontal="center"/>
    </xf>
    <xf numFmtId="0" fontId="9" fillId="0" borderId="50" xfId="0" applyFont="1" applyBorder="1"/>
    <xf numFmtId="14" fontId="9" fillId="0" borderId="48" xfId="0" applyNumberFormat="1" applyFont="1" applyBorder="1" applyAlignment="1">
      <alignment horizontal="center"/>
    </xf>
    <xf numFmtId="14" fontId="9" fillId="0" borderId="51" xfId="0" applyNumberFormat="1" applyFont="1" applyBorder="1" applyAlignment="1">
      <alignment horizontal="center"/>
    </xf>
    <xf numFmtId="0" fontId="9" fillId="0" borderId="49" xfId="0" applyFont="1" applyBorder="1"/>
    <xf numFmtId="14" fontId="9" fillId="0" borderId="74" xfId="0" applyNumberFormat="1" applyFont="1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09F8B34-4B86-E145-9540-2546C3E8668B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31493A20-D165-7942-9BEF-3CA4B6EC3641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37"/>
      <c r="B1" s="38"/>
      <c r="C1" s="38"/>
      <c r="D1" s="38"/>
      <c r="E1" s="38"/>
      <c r="F1" s="38"/>
      <c r="G1" s="38"/>
      <c r="H1" s="38"/>
      <c r="I1" s="39"/>
    </row>
    <row r="2" spans="1:9" ht="16" thickBot="1" x14ac:dyDescent="0.25">
      <c r="A2" s="40"/>
      <c r="B2" s="41"/>
      <c r="C2" s="41"/>
      <c r="D2" s="41"/>
      <c r="E2" s="41"/>
      <c r="F2" s="41"/>
      <c r="G2" s="41"/>
      <c r="H2" s="41"/>
      <c r="I2" s="42"/>
    </row>
    <row r="3" spans="1:9" ht="16" thickBot="1" x14ac:dyDescent="0.25">
      <c r="A3" s="43" t="s">
        <v>45</v>
      </c>
      <c r="B3" s="44"/>
      <c r="C3" s="44"/>
      <c r="D3" s="44"/>
      <c r="E3" s="44"/>
      <c r="F3" s="44"/>
      <c r="G3" s="44"/>
      <c r="H3" s="44"/>
      <c r="I3" s="45"/>
    </row>
    <row r="4" spans="1:9" ht="17" thickTop="1" thickBot="1" x14ac:dyDescent="0.25">
      <c r="A4" s="46">
        <f>D9+D12</f>
        <v>1.566666666666666</v>
      </c>
      <c r="B4" s="47"/>
      <c r="C4" s="47"/>
      <c r="D4" s="47"/>
      <c r="E4" s="47"/>
      <c r="F4" s="47"/>
      <c r="G4" s="47"/>
      <c r="H4" s="47"/>
      <c r="I4" s="48"/>
    </row>
    <row r="5" spans="1:9" ht="16" thickBot="1" x14ac:dyDescent="0.25">
      <c r="A5" s="49"/>
      <c r="B5" s="50"/>
      <c r="C5" s="50"/>
      <c r="D5" s="50"/>
      <c r="E5" s="50"/>
      <c r="F5" s="50"/>
      <c r="G5" s="50"/>
      <c r="H5" s="50"/>
      <c r="I5" s="51"/>
    </row>
    <row r="6" spans="1:9" ht="16" thickBot="1" x14ac:dyDescent="0.25">
      <c r="A6" s="43" t="s">
        <v>1</v>
      </c>
      <c r="B6" s="44"/>
      <c r="C6" s="44"/>
      <c r="D6" s="44"/>
      <c r="E6" s="44"/>
      <c r="F6" s="44"/>
      <c r="G6" s="44"/>
      <c r="H6" s="44"/>
      <c r="I6" s="45"/>
    </row>
    <row r="7" spans="1:9" ht="16" thickTop="1" x14ac:dyDescent="0.2">
      <c r="A7" s="34"/>
      <c r="B7" s="35"/>
      <c r="C7" s="36"/>
      <c r="D7" s="34"/>
      <c r="E7" s="35"/>
      <c r="F7" s="35"/>
      <c r="G7" s="35"/>
      <c r="H7" s="35"/>
      <c r="I7" s="36"/>
    </row>
    <row r="8" spans="1:9" x14ac:dyDescent="0.2">
      <c r="A8" s="52" t="s">
        <v>2</v>
      </c>
      <c r="B8" s="53"/>
      <c r="C8" s="54"/>
      <c r="D8" s="55" t="s">
        <v>3</v>
      </c>
      <c r="E8" s="56"/>
      <c r="F8" s="56"/>
      <c r="G8" s="56"/>
      <c r="H8" s="56"/>
      <c r="I8" s="57"/>
    </row>
    <row r="9" spans="1:9" x14ac:dyDescent="0.2">
      <c r="A9" s="58" t="s">
        <v>4</v>
      </c>
      <c r="B9" s="59"/>
      <c r="C9" s="60"/>
      <c r="D9" s="61">
        <f>'Sprint 1'!I50</f>
        <v>0.87777777777777743</v>
      </c>
      <c r="E9" s="62"/>
      <c r="F9" s="62"/>
      <c r="G9" s="62"/>
      <c r="H9" s="62"/>
      <c r="I9" s="63"/>
    </row>
    <row r="10" spans="1:9" ht="16" thickBot="1" x14ac:dyDescent="0.25">
      <c r="A10" s="64"/>
      <c r="B10" s="65"/>
      <c r="C10" s="66"/>
      <c r="D10" s="64"/>
      <c r="E10" s="65"/>
      <c r="F10" s="65"/>
      <c r="G10" s="65"/>
      <c r="H10" s="65"/>
      <c r="I10" s="66"/>
    </row>
    <row r="11" spans="1:9" x14ac:dyDescent="0.2">
      <c r="A11" s="67" t="s">
        <v>2</v>
      </c>
      <c r="B11" s="68"/>
      <c r="C11" s="69"/>
      <c r="D11" s="70" t="s">
        <v>5</v>
      </c>
      <c r="E11" s="71"/>
      <c r="F11" s="71"/>
      <c r="G11" s="71"/>
      <c r="H11" s="71"/>
      <c r="I11" s="72"/>
    </row>
    <row r="12" spans="1:9" ht="16" thickBot="1" x14ac:dyDescent="0.25">
      <c r="A12" s="73" t="s">
        <v>4</v>
      </c>
      <c r="B12" s="74"/>
      <c r="C12" s="75"/>
      <c r="D12" s="76">
        <f>'Sprint 1'!R50</f>
        <v>0.68888888888888866</v>
      </c>
      <c r="E12" s="77"/>
      <c r="F12" s="77"/>
      <c r="G12" s="77"/>
      <c r="H12" s="77"/>
      <c r="I12" s="78"/>
    </row>
    <row r="13" spans="1:9" x14ac:dyDescent="0.2">
      <c r="A13" s="79"/>
      <c r="B13" s="79"/>
      <c r="C13" s="79"/>
      <c r="D13" s="79"/>
      <c r="E13" s="79"/>
      <c r="F13" s="79"/>
      <c r="G13" s="79"/>
      <c r="H13" s="79"/>
      <c r="I13" s="79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9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6" thickBot="1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6" thickTop="1" x14ac:dyDescent="0.2">
      <c r="A3" s="92" t="s">
        <v>6</v>
      </c>
      <c r="B3" s="93"/>
      <c r="C3" s="94"/>
      <c r="D3" s="95"/>
      <c r="E3" s="95"/>
      <c r="F3" s="95"/>
      <c r="G3" s="95"/>
      <c r="H3" s="95"/>
      <c r="I3" s="96"/>
      <c r="J3" s="92" t="s">
        <v>6</v>
      </c>
      <c r="K3" s="93"/>
      <c r="L3" s="94"/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2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2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6" thickBot="1" x14ac:dyDescent="0.2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6" thickBot="1" x14ac:dyDescent="0.2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6" thickTop="1" x14ac:dyDescent="0.2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2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2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6" thickBot="1" x14ac:dyDescent="0.2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x14ac:dyDescent="0.2">
      <c r="A12" s="123"/>
      <c r="B12" s="124"/>
      <c r="C12" s="14"/>
      <c r="D12" s="125"/>
      <c r="E12" s="125"/>
      <c r="F12" s="126"/>
      <c r="G12" s="2"/>
      <c r="H12" s="3"/>
      <c r="I12" s="4">
        <f>H12-G12</f>
        <v>0</v>
      </c>
      <c r="J12" s="123"/>
      <c r="K12" s="124"/>
      <c r="L12" s="14"/>
      <c r="M12" s="80"/>
      <c r="N12" s="80"/>
      <c r="O12" s="122"/>
      <c r="P12" s="2"/>
      <c r="Q12" s="3"/>
      <c r="R12" s="4">
        <f>Q12-P12</f>
        <v>0</v>
      </c>
    </row>
    <row r="13" spans="1:23" x14ac:dyDescent="0.2">
      <c r="A13" s="120"/>
      <c r="B13" s="121"/>
      <c r="C13" s="7"/>
      <c r="D13" s="80"/>
      <c r="E13" s="80"/>
      <c r="F13" s="122"/>
      <c r="G13" s="5"/>
      <c r="H13" s="6"/>
      <c r="I13" s="4">
        <f>H13-G13</f>
        <v>0</v>
      </c>
      <c r="J13" s="120"/>
      <c r="K13" s="121"/>
      <c r="L13" s="7"/>
      <c r="M13" s="80"/>
      <c r="N13" s="80"/>
      <c r="O13" s="122"/>
      <c r="P13" s="5"/>
      <c r="Q13" s="6"/>
      <c r="R13" s="4">
        <f>Q13-P13</f>
        <v>0</v>
      </c>
    </row>
    <row r="14" spans="1:23" x14ac:dyDescent="0.2">
      <c r="A14" s="120"/>
      <c r="B14" s="121"/>
      <c r="C14" s="7"/>
      <c r="D14" s="80"/>
      <c r="E14" s="80"/>
      <c r="F14" s="122"/>
      <c r="G14" s="5"/>
      <c r="H14" s="6"/>
      <c r="I14" s="4">
        <f t="shared" ref="I14:I49" si="0">H14-G14</f>
        <v>0</v>
      </c>
      <c r="J14" s="120"/>
      <c r="K14" s="121"/>
      <c r="L14" s="17"/>
      <c r="M14" s="80"/>
      <c r="N14" s="80"/>
      <c r="O14" s="122"/>
      <c r="P14" s="5"/>
      <c r="Q14" s="6"/>
      <c r="R14" s="4">
        <f t="shared" ref="R14:R40" si="1">Q14-P14</f>
        <v>0</v>
      </c>
    </row>
    <row r="15" spans="1:23" x14ac:dyDescent="0.2">
      <c r="A15" s="120"/>
      <c r="B15" s="121"/>
      <c r="C15" s="7"/>
      <c r="D15" s="80"/>
      <c r="E15" s="80"/>
      <c r="F15" s="122"/>
      <c r="G15" s="5"/>
      <c r="H15" s="6"/>
      <c r="I15" s="4">
        <f t="shared" si="0"/>
        <v>0</v>
      </c>
      <c r="J15" s="120"/>
      <c r="K15" s="121"/>
      <c r="L15" s="7"/>
      <c r="M15" s="80"/>
      <c r="N15" s="80"/>
      <c r="O15" s="122"/>
      <c r="P15" s="5"/>
      <c r="Q15" s="6"/>
      <c r="R15" s="4">
        <f t="shared" si="1"/>
        <v>0</v>
      </c>
    </row>
    <row r="16" spans="1:23" x14ac:dyDescent="0.2">
      <c r="A16" s="120"/>
      <c r="B16" s="121"/>
      <c r="C16" s="7"/>
      <c r="D16" s="80"/>
      <c r="E16" s="80"/>
      <c r="F16" s="122"/>
      <c r="G16" s="5"/>
      <c r="H16" s="6"/>
      <c r="I16" s="4">
        <f t="shared" si="0"/>
        <v>0</v>
      </c>
      <c r="J16" s="120"/>
      <c r="K16" s="127"/>
      <c r="L16" s="7"/>
      <c r="M16" s="80"/>
      <c r="N16" s="80"/>
      <c r="O16" s="122"/>
      <c r="P16" s="5"/>
      <c r="Q16" s="6"/>
      <c r="R16" s="4">
        <f>Q16-P16</f>
        <v>0</v>
      </c>
    </row>
    <row r="17" spans="1:18" x14ac:dyDescent="0.2">
      <c r="A17" s="120"/>
      <c r="B17" s="121"/>
      <c r="C17" s="7"/>
      <c r="D17" s="80"/>
      <c r="E17" s="80"/>
      <c r="F17" s="122"/>
      <c r="G17" s="5"/>
      <c r="H17" s="6"/>
      <c r="I17" s="4">
        <f t="shared" si="0"/>
        <v>0</v>
      </c>
      <c r="J17" s="120"/>
      <c r="K17" s="121"/>
      <c r="L17" s="7"/>
      <c r="M17" s="80"/>
      <c r="N17" s="80"/>
      <c r="O17" s="122"/>
      <c r="P17" s="5"/>
      <c r="Q17" s="6"/>
      <c r="R17" s="4">
        <f t="shared" si="1"/>
        <v>0</v>
      </c>
    </row>
    <row r="18" spans="1:18" x14ac:dyDescent="0.2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/>
      <c r="Q18" s="6"/>
      <c r="R18" s="4">
        <f t="shared" si="1"/>
        <v>0</v>
      </c>
    </row>
    <row r="19" spans="1:18" x14ac:dyDescent="0.2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>Q19-P19</f>
        <v>0</v>
      </c>
    </row>
    <row r="20" spans="1:18" x14ac:dyDescent="0.2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80"/>
      <c r="N20" s="80"/>
      <c r="O20" s="122"/>
      <c r="P20" s="5"/>
      <c r="Q20" s="6"/>
      <c r="R20" s="4">
        <f t="shared" si="1"/>
        <v>0</v>
      </c>
    </row>
    <row r="21" spans="1:18" x14ac:dyDescent="0.2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2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2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2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2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2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2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2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2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2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2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2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2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2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2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2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2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2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2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2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2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2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2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2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2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2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2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2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6" thickBot="1" x14ac:dyDescent="0.2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6" thickBot="1" x14ac:dyDescent="0.2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301"/>
  <sheetViews>
    <sheetView zoomScale="82" zoomScaleNormal="130" workbookViewId="0">
      <selection activeCell="D7" sqref="D7:I7"/>
    </sheetView>
  </sheetViews>
  <sheetFormatPr baseColWidth="10" defaultColWidth="8.83203125" defaultRowHeight="15" x14ac:dyDescent="0.2"/>
  <sheetData>
    <row r="1" spans="1:9" ht="14.5" customHeight="1" x14ac:dyDescent="0.2">
      <c r="A1" s="37" t="s">
        <v>126</v>
      </c>
      <c r="B1" s="38"/>
      <c r="C1" s="38"/>
      <c r="D1" s="38"/>
      <c r="E1" s="38"/>
      <c r="F1" s="38"/>
      <c r="G1" s="38"/>
      <c r="H1" s="38"/>
      <c r="I1" s="39"/>
    </row>
    <row r="2" spans="1:9" ht="15" customHeight="1" thickBot="1" x14ac:dyDescent="0.25">
      <c r="A2" s="40"/>
      <c r="B2" s="41"/>
      <c r="C2" s="41"/>
      <c r="D2" s="41"/>
      <c r="E2" s="41"/>
      <c r="F2" s="41"/>
      <c r="G2" s="41"/>
      <c r="H2" s="41"/>
      <c r="I2" s="42"/>
    </row>
    <row r="3" spans="1:9" ht="16" thickBot="1" x14ac:dyDescent="0.25">
      <c r="A3" s="43" t="s">
        <v>45</v>
      </c>
      <c r="B3" s="44"/>
      <c r="C3" s="44"/>
      <c r="D3" s="44"/>
      <c r="E3" s="44"/>
      <c r="F3" s="44"/>
      <c r="G3" s="44"/>
      <c r="H3" s="44"/>
      <c r="I3" s="45"/>
    </row>
    <row r="4" spans="1:9" ht="17" thickTop="1" thickBot="1" x14ac:dyDescent="0.25">
      <c r="A4" s="46">
        <f>D9+D12</f>
        <v>1.0520833333333335</v>
      </c>
      <c r="B4" s="47"/>
      <c r="C4" s="47"/>
      <c r="D4" s="47"/>
      <c r="E4" s="47"/>
      <c r="F4" s="47"/>
      <c r="G4" s="47"/>
      <c r="H4" s="47"/>
      <c r="I4" s="48"/>
    </row>
    <row r="5" spans="1:9" ht="16" thickBot="1" x14ac:dyDescent="0.25">
      <c r="A5" s="49"/>
      <c r="B5" s="50"/>
      <c r="C5" s="50"/>
      <c r="D5" s="50"/>
      <c r="E5" s="50"/>
      <c r="F5" s="50"/>
      <c r="G5" s="50"/>
      <c r="H5" s="50"/>
      <c r="I5" s="51"/>
    </row>
    <row r="6" spans="1:9" ht="16" thickBot="1" x14ac:dyDescent="0.25">
      <c r="A6" s="43" t="s">
        <v>1</v>
      </c>
      <c r="B6" s="44"/>
      <c r="C6" s="44"/>
      <c r="D6" s="44"/>
      <c r="E6" s="44"/>
      <c r="F6" s="44"/>
      <c r="G6" s="44"/>
      <c r="H6" s="44"/>
      <c r="I6" s="45"/>
    </row>
    <row r="7" spans="1:9" ht="16" thickTop="1" x14ac:dyDescent="0.2">
      <c r="A7" s="34"/>
      <c r="B7" s="35"/>
      <c r="C7" s="36"/>
      <c r="D7" s="34"/>
      <c r="E7" s="35"/>
      <c r="F7" s="35"/>
      <c r="G7" s="35"/>
      <c r="H7" s="35"/>
      <c r="I7" s="36"/>
    </row>
    <row r="8" spans="1:9" x14ac:dyDescent="0.2">
      <c r="A8" s="52" t="s">
        <v>2</v>
      </c>
      <c r="B8" s="53"/>
      <c r="C8" s="54"/>
      <c r="D8" s="55" t="s">
        <v>3</v>
      </c>
      <c r="E8" s="56"/>
      <c r="F8" s="56"/>
      <c r="G8" s="56"/>
      <c r="H8" s="56"/>
      <c r="I8" s="57"/>
    </row>
    <row r="9" spans="1:9" x14ac:dyDescent="0.2">
      <c r="A9" s="58" t="s">
        <v>4</v>
      </c>
      <c r="B9" s="59"/>
      <c r="C9" s="60"/>
      <c r="D9" s="61">
        <v>0.59375000000000011</v>
      </c>
      <c r="E9" s="62"/>
      <c r="F9" s="62"/>
      <c r="G9" s="62"/>
      <c r="H9" s="62"/>
      <c r="I9" s="63"/>
    </row>
    <row r="10" spans="1:9" ht="16" thickBot="1" x14ac:dyDescent="0.25">
      <c r="A10" s="64"/>
      <c r="B10" s="65"/>
      <c r="C10" s="66"/>
      <c r="D10" s="64"/>
      <c r="E10" s="65"/>
      <c r="F10" s="65"/>
      <c r="G10" s="65"/>
      <c r="H10" s="65"/>
      <c r="I10" s="66"/>
    </row>
    <row r="11" spans="1:9" x14ac:dyDescent="0.2">
      <c r="A11" s="67" t="s">
        <v>2</v>
      </c>
      <c r="B11" s="68"/>
      <c r="C11" s="69"/>
      <c r="D11" s="70" t="s">
        <v>5</v>
      </c>
      <c r="E11" s="71"/>
      <c r="F11" s="71"/>
      <c r="G11" s="71"/>
      <c r="H11" s="71"/>
      <c r="I11" s="72"/>
    </row>
    <row r="12" spans="1:9" ht="16" thickBot="1" x14ac:dyDescent="0.25">
      <c r="A12" s="73" t="s">
        <v>4</v>
      </c>
      <c r="B12" s="74"/>
      <c r="C12" s="75"/>
      <c r="D12" s="76">
        <v>0.45833333333333326</v>
      </c>
      <c r="E12" s="77"/>
      <c r="F12" s="77"/>
      <c r="G12" s="77"/>
      <c r="H12" s="77"/>
      <c r="I12" s="78"/>
    </row>
    <row r="13" spans="1:9" ht="16" thickBot="1" x14ac:dyDescent="0.25">
      <c r="A13" s="79"/>
      <c r="B13" s="79"/>
      <c r="C13" s="79"/>
      <c r="D13" s="79"/>
      <c r="E13" s="79"/>
      <c r="F13" s="79"/>
      <c r="G13" s="79"/>
      <c r="H13" s="79"/>
      <c r="I13" s="79"/>
    </row>
    <row r="14" spans="1:9" ht="14.5" customHeight="1" x14ac:dyDescent="0.2">
      <c r="A14" s="37" t="s">
        <v>107</v>
      </c>
      <c r="B14" s="38"/>
      <c r="C14" s="38"/>
      <c r="D14" s="38"/>
      <c r="E14" s="38"/>
      <c r="F14" s="38"/>
      <c r="G14" s="38"/>
      <c r="H14" s="38"/>
      <c r="I14" s="39"/>
    </row>
    <row r="15" spans="1:9" ht="15" customHeight="1" thickBot="1" x14ac:dyDescent="0.25">
      <c r="A15" s="40"/>
      <c r="B15" s="41"/>
      <c r="C15" s="41"/>
      <c r="D15" s="41"/>
      <c r="E15" s="41"/>
      <c r="F15" s="41"/>
      <c r="G15" s="41"/>
      <c r="H15" s="41"/>
      <c r="I15" s="42"/>
    </row>
    <row r="16" spans="1:9" ht="16" thickBot="1" x14ac:dyDescent="0.25">
      <c r="A16" s="43" t="s">
        <v>45</v>
      </c>
      <c r="B16" s="44"/>
      <c r="C16" s="44"/>
      <c r="D16" s="44"/>
      <c r="E16" s="44"/>
      <c r="F16" s="44"/>
      <c r="G16" s="44"/>
      <c r="H16" s="44"/>
      <c r="I16" s="45"/>
    </row>
    <row r="17" spans="1:9" ht="17" thickTop="1" thickBot="1" x14ac:dyDescent="0.25">
      <c r="A17" s="46">
        <f>D22+D25</f>
        <v>0.8819444444444442</v>
      </c>
      <c r="B17" s="47"/>
      <c r="C17" s="47"/>
      <c r="D17" s="47"/>
      <c r="E17" s="47"/>
      <c r="F17" s="47"/>
      <c r="G17" s="47"/>
      <c r="H17" s="47"/>
      <c r="I17" s="48"/>
    </row>
    <row r="18" spans="1:9" ht="16" thickBot="1" x14ac:dyDescent="0.25">
      <c r="A18" s="49"/>
      <c r="B18" s="50"/>
      <c r="C18" s="50"/>
      <c r="D18" s="50"/>
      <c r="E18" s="50"/>
      <c r="F18" s="50"/>
      <c r="G18" s="50"/>
      <c r="H18" s="50"/>
      <c r="I18" s="51"/>
    </row>
    <row r="19" spans="1:9" ht="16" thickBot="1" x14ac:dyDescent="0.25">
      <c r="A19" s="43" t="s">
        <v>1</v>
      </c>
      <c r="B19" s="44"/>
      <c r="C19" s="44"/>
      <c r="D19" s="44"/>
      <c r="E19" s="44"/>
      <c r="F19" s="44"/>
      <c r="G19" s="44"/>
      <c r="H19" s="44"/>
      <c r="I19" s="45"/>
    </row>
    <row r="20" spans="1:9" ht="16" thickTop="1" x14ac:dyDescent="0.2">
      <c r="A20" s="34"/>
      <c r="B20" s="35"/>
      <c r="C20" s="36"/>
      <c r="D20" s="34"/>
      <c r="E20" s="35"/>
      <c r="F20" s="35"/>
      <c r="G20" s="35"/>
      <c r="H20" s="35"/>
      <c r="I20" s="36"/>
    </row>
    <row r="21" spans="1:9" x14ac:dyDescent="0.2">
      <c r="A21" s="52" t="s">
        <v>2</v>
      </c>
      <c r="B21" s="53"/>
      <c r="C21" s="54"/>
      <c r="D21" s="55" t="s">
        <v>3</v>
      </c>
      <c r="E21" s="56"/>
      <c r="F21" s="56"/>
      <c r="G21" s="56"/>
      <c r="H21" s="56"/>
      <c r="I21" s="57"/>
    </row>
    <row r="22" spans="1:9" x14ac:dyDescent="0.2">
      <c r="A22" s="58" t="s">
        <v>4</v>
      </c>
      <c r="B22" s="59"/>
      <c r="C22" s="60"/>
      <c r="D22" s="61">
        <v>0.55902777777777768</v>
      </c>
      <c r="E22" s="62"/>
      <c r="F22" s="62"/>
      <c r="G22" s="62"/>
      <c r="H22" s="62"/>
      <c r="I22" s="63"/>
    </row>
    <row r="23" spans="1:9" ht="16" thickBot="1" x14ac:dyDescent="0.25">
      <c r="A23" s="64"/>
      <c r="B23" s="65"/>
      <c r="C23" s="66"/>
      <c r="D23" s="64"/>
      <c r="E23" s="65"/>
      <c r="F23" s="65"/>
      <c r="G23" s="65"/>
      <c r="H23" s="65"/>
      <c r="I23" s="66"/>
    </row>
    <row r="24" spans="1:9" x14ac:dyDescent="0.2">
      <c r="A24" s="67" t="s">
        <v>2</v>
      </c>
      <c r="B24" s="68"/>
      <c r="C24" s="69"/>
      <c r="D24" s="70" t="s">
        <v>5</v>
      </c>
      <c r="E24" s="71"/>
      <c r="F24" s="71"/>
      <c r="G24" s="71"/>
      <c r="H24" s="71"/>
      <c r="I24" s="72"/>
    </row>
    <row r="25" spans="1:9" ht="16" thickBot="1" x14ac:dyDescent="0.25">
      <c r="A25" s="73" t="s">
        <v>4</v>
      </c>
      <c r="B25" s="74"/>
      <c r="C25" s="75"/>
      <c r="D25" s="76">
        <v>0.32291666666666657</v>
      </c>
      <c r="E25" s="77"/>
      <c r="F25" s="77"/>
      <c r="G25" s="77"/>
      <c r="H25" s="77"/>
      <c r="I25" s="78"/>
    </row>
    <row r="26" spans="1:9" ht="16" thickBot="1" x14ac:dyDescent="0.25">
      <c r="A26" s="79"/>
      <c r="B26" s="79"/>
      <c r="C26" s="79"/>
      <c r="D26" s="79"/>
      <c r="E26" s="79"/>
      <c r="F26" s="79"/>
      <c r="G26" s="79"/>
      <c r="H26" s="79"/>
      <c r="I26" s="79"/>
    </row>
    <row r="27" spans="1:9" ht="14.5" customHeight="1" x14ac:dyDescent="0.2">
      <c r="A27" s="37" t="s">
        <v>86</v>
      </c>
      <c r="B27" s="38"/>
      <c r="C27" s="38"/>
      <c r="D27" s="38"/>
      <c r="E27" s="38"/>
      <c r="F27" s="38"/>
      <c r="G27" s="38"/>
      <c r="H27" s="38"/>
      <c r="I27" s="39"/>
    </row>
    <row r="28" spans="1:9" ht="15" customHeight="1" thickBot="1" x14ac:dyDescent="0.25">
      <c r="A28" s="40"/>
      <c r="B28" s="41"/>
      <c r="C28" s="41"/>
      <c r="D28" s="41"/>
      <c r="E28" s="41"/>
      <c r="F28" s="41"/>
      <c r="G28" s="41"/>
      <c r="H28" s="41"/>
      <c r="I28" s="42"/>
    </row>
    <row r="29" spans="1:9" ht="16" thickBot="1" x14ac:dyDescent="0.25">
      <c r="A29" s="43" t="s">
        <v>45</v>
      </c>
      <c r="B29" s="44"/>
      <c r="C29" s="44"/>
      <c r="D29" s="44"/>
      <c r="E29" s="44"/>
      <c r="F29" s="44"/>
      <c r="G29" s="44"/>
      <c r="H29" s="44"/>
      <c r="I29" s="45"/>
    </row>
    <row r="30" spans="1:9" ht="17" thickTop="1" thickBot="1" x14ac:dyDescent="0.25">
      <c r="A30" s="46">
        <f>D35+D38</f>
        <v>1.2444444444444445</v>
      </c>
      <c r="B30" s="47"/>
      <c r="C30" s="47"/>
      <c r="D30" s="47"/>
      <c r="E30" s="47"/>
      <c r="F30" s="47"/>
      <c r="G30" s="47"/>
      <c r="H30" s="47"/>
      <c r="I30" s="48"/>
    </row>
    <row r="31" spans="1:9" ht="16" thickBot="1" x14ac:dyDescent="0.25">
      <c r="A31" s="49"/>
      <c r="B31" s="50"/>
      <c r="C31" s="50"/>
      <c r="D31" s="50"/>
      <c r="E31" s="50"/>
      <c r="F31" s="50"/>
      <c r="G31" s="50"/>
      <c r="H31" s="50"/>
      <c r="I31" s="51"/>
    </row>
    <row r="32" spans="1:9" ht="16" thickBot="1" x14ac:dyDescent="0.25">
      <c r="A32" s="43" t="s">
        <v>1</v>
      </c>
      <c r="B32" s="44"/>
      <c r="C32" s="44"/>
      <c r="D32" s="44"/>
      <c r="E32" s="44"/>
      <c r="F32" s="44"/>
      <c r="G32" s="44"/>
      <c r="H32" s="44"/>
      <c r="I32" s="45"/>
    </row>
    <row r="33" spans="1:9" ht="16" thickTop="1" x14ac:dyDescent="0.2">
      <c r="A33" s="34"/>
      <c r="B33" s="35"/>
      <c r="C33" s="36"/>
      <c r="D33" s="34"/>
      <c r="E33" s="35"/>
      <c r="F33" s="35"/>
      <c r="G33" s="35"/>
      <c r="H33" s="35"/>
      <c r="I33" s="36"/>
    </row>
    <row r="34" spans="1:9" x14ac:dyDescent="0.2">
      <c r="A34" s="52" t="s">
        <v>2</v>
      </c>
      <c r="B34" s="53"/>
      <c r="C34" s="54"/>
      <c r="D34" s="55" t="s">
        <v>3</v>
      </c>
      <c r="E34" s="56"/>
      <c r="F34" s="56"/>
      <c r="G34" s="56"/>
      <c r="H34" s="56"/>
      <c r="I34" s="57"/>
    </row>
    <row r="35" spans="1:9" x14ac:dyDescent="0.2">
      <c r="A35" s="58" t="s">
        <v>4</v>
      </c>
      <c r="B35" s="59"/>
      <c r="C35" s="60"/>
      <c r="D35" s="61">
        <v>0.64027777777777783</v>
      </c>
      <c r="E35" s="62"/>
      <c r="F35" s="62"/>
      <c r="G35" s="62"/>
      <c r="H35" s="62"/>
      <c r="I35" s="63"/>
    </row>
    <row r="36" spans="1:9" ht="16" thickBot="1" x14ac:dyDescent="0.25">
      <c r="A36" s="64"/>
      <c r="B36" s="65"/>
      <c r="C36" s="66"/>
      <c r="D36" s="64"/>
      <c r="E36" s="65"/>
      <c r="F36" s="65"/>
      <c r="G36" s="65"/>
      <c r="H36" s="65"/>
      <c r="I36" s="66"/>
    </row>
    <row r="37" spans="1:9" x14ac:dyDescent="0.2">
      <c r="A37" s="67" t="s">
        <v>2</v>
      </c>
      <c r="B37" s="68"/>
      <c r="C37" s="69"/>
      <c r="D37" s="70" t="s">
        <v>5</v>
      </c>
      <c r="E37" s="71"/>
      <c r="F37" s="71"/>
      <c r="G37" s="71"/>
      <c r="H37" s="71"/>
      <c r="I37" s="72"/>
    </row>
    <row r="38" spans="1:9" ht="16" thickBot="1" x14ac:dyDescent="0.25">
      <c r="A38" s="73" t="s">
        <v>4</v>
      </c>
      <c r="B38" s="74"/>
      <c r="C38" s="75"/>
      <c r="D38" s="76">
        <v>0.60416666666666674</v>
      </c>
      <c r="E38" s="77"/>
      <c r="F38" s="77"/>
      <c r="G38" s="77"/>
      <c r="H38" s="77"/>
      <c r="I38" s="78"/>
    </row>
    <row r="39" spans="1:9" ht="16" thickBot="1" x14ac:dyDescent="0.25">
      <c r="A39" s="79"/>
      <c r="B39" s="79"/>
      <c r="C39" s="79"/>
      <c r="D39" s="79"/>
      <c r="E39" s="79"/>
      <c r="F39" s="79"/>
      <c r="G39" s="79"/>
      <c r="H39" s="79"/>
      <c r="I39" s="79"/>
    </row>
    <row r="40" spans="1:9" ht="14.5" customHeight="1" x14ac:dyDescent="0.2">
      <c r="A40" s="37" t="s">
        <v>71</v>
      </c>
      <c r="B40" s="38"/>
      <c r="C40" s="38"/>
      <c r="D40" s="38"/>
      <c r="E40" s="38"/>
      <c r="F40" s="38"/>
      <c r="G40" s="38"/>
      <c r="H40" s="38"/>
      <c r="I40" s="39"/>
    </row>
    <row r="41" spans="1:9" ht="15" customHeight="1" thickBot="1" x14ac:dyDescent="0.25">
      <c r="A41" s="40"/>
      <c r="B41" s="41"/>
      <c r="C41" s="41"/>
      <c r="D41" s="41"/>
      <c r="E41" s="41"/>
      <c r="F41" s="41"/>
      <c r="G41" s="41"/>
      <c r="H41" s="41"/>
      <c r="I41" s="42"/>
    </row>
    <row r="42" spans="1:9" ht="16" thickBot="1" x14ac:dyDescent="0.25">
      <c r="A42" s="43" t="s">
        <v>45</v>
      </c>
      <c r="B42" s="44"/>
      <c r="C42" s="44"/>
      <c r="D42" s="44"/>
      <c r="E42" s="44"/>
      <c r="F42" s="44"/>
      <c r="G42" s="44"/>
      <c r="H42" s="44"/>
      <c r="I42" s="45"/>
    </row>
    <row r="43" spans="1:9" ht="17" thickTop="1" thickBot="1" x14ac:dyDescent="0.25">
      <c r="A43" s="46">
        <f>D48+D51</f>
        <v>0.97916666666666652</v>
      </c>
      <c r="B43" s="47"/>
      <c r="C43" s="47"/>
      <c r="D43" s="47"/>
      <c r="E43" s="47"/>
      <c r="F43" s="47"/>
      <c r="G43" s="47"/>
      <c r="H43" s="47"/>
      <c r="I43" s="48"/>
    </row>
    <row r="44" spans="1:9" ht="16" thickBot="1" x14ac:dyDescent="0.25">
      <c r="A44" s="49"/>
      <c r="B44" s="50"/>
      <c r="C44" s="50"/>
      <c r="D44" s="50"/>
      <c r="E44" s="50"/>
      <c r="F44" s="50"/>
      <c r="G44" s="50"/>
      <c r="H44" s="50"/>
      <c r="I44" s="51"/>
    </row>
    <row r="45" spans="1:9" ht="16" thickBot="1" x14ac:dyDescent="0.25">
      <c r="A45" s="43" t="s">
        <v>1</v>
      </c>
      <c r="B45" s="44"/>
      <c r="C45" s="44"/>
      <c r="D45" s="44"/>
      <c r="E45" s="44"/>
      <c r="F45" s="44"/>
      <c r="G45" s="44"/>
      <c r="H45" s="44"/>
      <c r="I45" s="45"/>
    </row>
    <row r="46" spans="1:9" ht="16" thickTop="1" x14ac:dyDescent="0.2">
      <c r="A46" s="34"/>
      <c r="B46" s="35"/>
      <c r="C46" s="36"/>
      <c r="D46" s="34"/>
      <c r="E46" s="35"/>
      <c r="F46" s="35"/>
      <c r="G46" s="35"/>
      <c r="H46" s="35"/>
      <c r="I46" s="36"/>
    </row>
    <row r="47" spans="1:9" x14ac:dyDescent="0.2">
      <c r="A47" s="52" t="s">
        <v>2</v>
      </c>
      <c r="B47" s="53"/>
      <c r="C47" s="54"/>
      <c r="D47" s="55" t="s">
        <v>3</v>
      </c>
      <c r="E47" s="56"/>
      <c r="F47" s="56"/>
      <c r="G47" s="56"/>
      <c r="H47" s="56"/>
      <c r="I47" s="57"/>
    </row>
    <row r="48" spans="1:9" x14ac:dyDescent="0.2">
      <c r="A48" s="58" t="s">
        <v>4</v>
      </c>
      <c r="B48" s="59"/>
      <c r="C48" s="60"/>
      <c r="D48" s="61">
        <v>0.51388888888888884</v>
      </c>
      <c r="E48" s="62"/>
      <c r="F48" s="62"/>
      <c r="G48" s="62"/>
      <c r="H48" s="62"/>
      <c r="I48" s="63"/>
    </row>
    <row r="49" spans="1:9" ht="16" thickBot="1" x14ac:dyDescent="0.25">
      <c r="A49" s="64"/>
      <c r="B49" s="65"/>
      <c r="C49" s="66"/>
      <c r="D49" s="64"/>
      <c r="E49" s="65"/>
      <c r="F49" s="65"/>
      <c r="G49" s="65"/>
      <c r="H49" s="65"/>
      <c r="I49" s="66"/>
    </row>
    <row r="50" spans="1:9" x14ac:dyDescent="0.2">
      <c r="A50" s="67" t="s">
        <v>2</v>
      </c>
      <c r="B50" s="68"/>
      <c r="C50" s="69"/>
      <c r="D50" s="70" t="s">
        <v>5</v>
      </c>
      <c r="E50" s="71"/>
      <c r="F50" s="71"/>
      <c r="G50" s="71"/>
      <c r="H50" s="71"/>
      <c r="I50" s="72"/>
    </row>
    <row r="51" spans="1:9" ht="16" thickBot="1" x14ac:dyDescent="0.25">
      <c r="A51" s="73" t="s">
        <v>4</v>
      </c>
      <c r="B51" s="74"/>
      <c r="C51" s="75"/>
      <c r="D51" s="76">
        <v>0.46527777777777773</v>
      </c>
      <c r="E51" s="77"/>
      <c r="F51" s="77"/>
      <c r="G51" s="77"/>
      <c r="H51" s="77"/>
      <c r="I51" s="78"/>
    </row>
    <row r="52" spans="1:9" ht="16" thickBot="1" x14ac:dyDescent="0.25">
      <c r="A52" s="79"/>
      <c r="B52" s="79"/>
      <c r="C52" s="79"/>
      <c r="D52" s="79"/>
      <c r="E52" s="79"/>
      <c r="F52" s="79"/>
      <c r="G52" s="79"/>
      <c r="H52" s="79"/>
      <c r="I52" s="79"/>
    </row>
    <row r="53" spans="1:9" ht="14.5" customHeight="1" x14ac:dyDescent="0.2">
      <c r="A53" s="37" t="s">
        <v>48</v>
      </c>
      <c r="B53" s="38"/>
      <c r="C53" s="38"/>
      <c r="D53" s="38"/>
      <c r="E53" s="38"/>
      <c r="F53" s="38"/>
      <c r="G53" s="38"/>
      <c r="H53" s="38"/>
      <c r="I53" s="39"/>
    </row>
    <row r="54" spans="1:9" ht="15" customHeight="1" thickBot="1" x14ac:dyDescent="0.25">
      <c r="A54" s="40"/>
      <c r="B54" s="41"/>
      <c r="C54" s="41"/>
      <c r="D54" s="41"/>
      <c r="E54" s="41"/>
      <c r="F54" s="41"/>
      <c r="G54" s="41"/>
      <c r="H54" s="41"/>
      <c r="I54" s="42"/>
    </row>
    <row r="55" spans="1:9" ht="16" thickBot="1" x14ac:dyDescent="0.25">
      <c r="A55" s="43" t="s">
        <v>45</v>
      </c>
      <c r="B55" s="44"/>
      <c r="C55" s="44"/>
      <c r="D55" s="44"/>
      <c r="E55" s="44"/>
      <c r="F55" s="44"/>
      <c r="G55" s="44"/>
      <c r="H55" s="44"/>
      <c r="I55" s="45"/>
    </row>
    <row r="56" spans="1:9" ht="17" thickTop="1" thickBot="1" x14ac:dyDescent="0.25">
      <c r="A56" s="46">
        <f>D61+D64</f>
        <v>1.2340277777777779</v>
      </c>
      <c r="B56" s="47"/>
      <c r="C56" s="47"/>
      <c r="D56" s="47"/>
      <c r="E56" s="47"/>
      <c r="F56" s="47"/>
      <c r="G56" s="47"/>
      <c r="H56" s="47"/>
      <c r="I56" s="48"/>
    </row>
    <row r="57" spans="1:9" ht="16" thickBot="1" x14ac:dyDescent="0.25">
      <c r="A57" s="49"/>
      <c r="B57" s="50"/>
      <c r="C57" s="50"/>
      <c r="D57" s="50"/>
      <c r="E57" s="50"/>
      <c r="F57" s="50"/>
      <c r="G57" s="50"/>
      <c r="H57" s="50"/>
      <c r="I57" s="51"/>
    </row>
    <row r="58" spans="1:9" ht="16" thickBot="1" x14ac:dyDescent="0.25">
      <c r="A58" s="43" t="s">
        <v>1</v>
      </c>
      <c r="B58" s="44"/>
      <c r="C58" s="44"/>
      <c r="D58" s="44"/>
      <c r="E58" s="44"/>
      <c r="F58" s="44"/>
      <c r="G58" s="44"/>
      <c r="H58" s="44"/>
      <c r="I58" s="45"/>
    </row>
    <row r="59" spans="1:9" ht="16" thickTop="1" x14ac:dyDescent="0.2">
      <c r="A59" s="34"/>
      <c r="B59" s="35"/>
      <c r="C59" s="36"/>
      <c r="D59" s="34"/>
      <c r="E59" s="35"/>
      <c r="F59" s="35"/>
      <c r="G59" s="35"/>
      <c r="H59" s="35"/>
      <c r="I59" s="36"/>
    </row>
    <row r="60" spans="1:9" x14ac:dyDescent="0.2">
      <c r="A60" s="52" t="s">
        <v>2</v>
      </c>
      <c r="B60" s="53"/>
      <c r="C60" s="54"/>
      <c r="D60" s="55" t="s">
        <v>3</v>
      </c>
      <c r="E60" s="56"/>
      <c r="F60" s="56"/>
      <c r="G60" s="56"/>
      <c r="H60" s="56"/>
      <c r="I60" s="57"/>
    </row>
    <row r="61" spans="1:9" x14ac:dyDescent="0.2">
      <c r="A61" s="58" t="s">
        <v>4</v>
      </c>
      <c r="B61" s="59"/>
      <c r="C61" s="60"/>
      <c r="D61" s="61">
        <v>0.80347222222222248</v>
      </c>
      <c r="E61" s="62"/>
      <c r="F61" s="62"/>
      <c r="G61" s="62"/>
      <c r="H61" s="62"/>
      <c r="I61" s="63"/>
    </row>
    <row r="62" spans="1:9" ht="16" thickBot="1" x14ac:dyDescent="0.25">
      <c r="A62" s="64"/>
      <c r="B62" s="65"/>
      <c r="C62" s="66"/>
      <c r="D62" s="64"/>
      <c r="E62" s="65"/>
      <c r="F62" s="65"/>
      <c r="G62" s="65"/>
      <c r="H62" s="65"/>
      <c r="I62" s="66"/>
    </row>
    <row r="63" spans="1:9" x14ac:dyDescent="0.2">
      <c r="A63" s="67" t="s">
        <v>2</v>
      </c>
      <c r="B63" s="68"/>
      <c r="C63" s="69"/>
      <c r="D63" s="70" t="s">
        <v>5</v>
      </c>
      <c r="E63" s="71"/>
      <c r="F63" s="71"/>
      <c r="G63" s="71"/>
      <c r="H63" s="71"/>
      <c r="I63" s="72"/>
    </row>
    <row r="64" spans="1:9" ht="16" thickBot="1" x14ac:dyDescent="0.25">
      <c r="A64" s="73" t="s">
        <v>4</v>
      </c>
      <c r="B64" s="74"/>
      <c r="C64" s="75"/>
      <c r="D64" s="76">
        <v>0.43055555555555552</v>
      </c>
      <c r="E64" s="77"/>
      <c r="F64" s="77"/>
      <c r="G64" s="77"/>
      <c r="H64" s="77"/>
      <c r="I64" s="78"/>
    </row>
    <row r="65" spans="1:9" ht="16" thickBot="1" x14ac:dyDescent="0.25">
      <c r="A65" s="79"/>
      <c r="B65" s="79"/>
      <c r="C65" s="79"/>
      <c r="D65" s="79"/>
      <c r="E65" s="79"/>
      <c r="F65" s="79"/>
      <c r="G65" s="79"/>
      <c r="H65" s="79"/>
      <c r="I65" s="79"/>
    </row>
    <row r="66" spans="1:9" ht="14.5" customHeight="1" x14ac:dyDescent="0.2">
      <c r="A66" s="37" t="s">
        <v>0</v>
      </c>
      <c r="B66" s="38"/>
      <c r="C66" s="38"/>
      <c r="D66" s="38"/>
      <c r="E66" s="38"/>
      <c r="F66" s="38"/>
      <c r="G66" s="38"/>
      <c r="H66" s="38"/>
      <c r="I66" s="39"/>
    </row>
    <row r="67" spans="1:9" ht="15" customHeight="1" thickBot="1" x14ac:dyDescent="0.25">
      <c r="A67" s="40"/>
      <c r="B67" s="41"/>
      <c r="C67" s="41"/>
      <c r="D67" s="41"/>
      <c r="E67" s="41"/>
      <c r="F67" s="41"/>
      <c r="G67" s="41"/>
      <c r="H67" s="41"/>
      <c r="I67" s="42"/>
    </row>
    <row r="68" spans="1:9" ht="16" thickBot="1" x14ac:dyDescent="0.25">
      <c r="A68" s="43" t="s">
        <v>45</v>
      </c>
      <c r="B68" s="44"/>
      <c r="C68" s="44"/>
      <c r="D68" s="44"/>
      <c r="E68" s="44"/>
      <c r="F68" s="44"/>
      <c r="G68" s="44"/>
      <c r="H68" s="44"/>
      <c r="I68" s="45"/>
    </row>
    <row r="69" spans="1:9" ht="17" thickTop="1" thickBot="1" x14ac:dyDescent="0.25">
      <c r="A69" s="46">
        <f>D74+D77</f>
        <v>1.566666666666666</v>
      </c>
      <c r="B69" s="47"/>
      <c r="C69" s="47"/>
      <c r="D69" s="47"/>
      <c r="E69" s="47"/>
      <c r="F69" s="47"/>
      <c r="G69" s="47"/>
      <c r="H69" s="47"/>
      <c r="I69" s="48"/>
    </row>
    <row r="70" spans="1:9" ht="16" thickBot="1" x14ac:dyDescent="0.25">
      <c r="A70" s="49"/>
      <c r="B70" s="50"/>
      <c r="C70" s="50"/>
      <c r="D70" s="50"/>
      <c r="E70" s="50"/>
      <c r="F70" s="50"/>
      <c r="G70" s="50"/>
      <c r="H70" s="50"/>
      <c r="I70" s="51"/>
    </row>
    <row r="71" spans="1:9" ht="16" thickBot="1" x14ac:dyDescent="0.25">
      <c r="A71" s="43" t="s">
        <v>1</v>
      </c>
      <c r="B71" s="44"/>
      <c r="C71" s="44"/>
      <c r="D71" s="44"/>
      <c r="E71" s="44"/>
      <c r="F71" s="44"/>
      <c r="G71" s="44"/>
      <c r="H71" s="44"/>
      <c r="I71" s="45"/>
    </row>
    <row r="72" spans="1:9" ht="16" thickTop="1" x14ac:dyDescent="0.2">
      <c r="A72" s="34"/>
      <c r="B72" s="35"/>
      <c r="C72" s="36"/>
      <c r="D72" s="34"/>
      <c r="E72" s="35"/>
      <c r="F72" s="35"/>
      <c r="G72" s="35"/>
      <c r="H72" s="35"/>
      <c r="I72" s="36"/>
    </row>
    <row r="73" spans="1:9" x14ac:dyDescent="0.2">
      <c r="A73" s="52" t="s">
        <v>2</v>
      </c>
      <c r="B73" s="53"/>
      <c r="C73" s="54"/>
      <c r="D73" s="55" t="s">
        <v>3</v>
      </c>
      <c r="E73" s="56"/>
      <c r="F73" s="56"/>
      <c r="G73" s="56"/>
      <c r="H73" s="56"/>
      <c r="I73" s="57"/>
    </row>
    <row r="74" spans="1:9" x14ac:dyDescent="0.2">
      <c r="A74" s="58" t="s">
        <v>4</v>
      </c>
      <c r="B74" s="59"/>
      <c r="C74" s="60"/>
      <c r="D74" s="61">
        <v>0.87777777777777743</v>
      </c>
      <c r="E74" s="62"/>
      <c r="F74" s="62"/>
      <c r="G74" s="62"/>
      <c r="H74" s="62"/>
      <c r="I74" s="63"/>
    </row>
    <row r="75" spans="1:9" ht="16" thickBot="1" x14ac:dyDescent="0.25">
      <c r="A75" s="64"/>
      <c r="B75" s="65"/>
      <c r="C75" s="66"/>
      <c r="D75" s="64"/>
      <c r="E75" s="65"/>
      <c r="F75" s="65"/>
      <c r="G75" s="65"/>
      <c r="H75" s="65"/>
      <c r="I75" s="66"/>
    </row>
    <row r="76" spans="1:9" x14ac:dyDescent="0.2">
      <c r="A76" s="67" t="s">
        <v>2</v>
      </c>
      <c r="B76" s="68"/>
      <c r="C76" s="69"/>
      <c r="D76" s="70" t="s">
        <v>5</v>
      </c>
      <c r="E76" s="71"/>
      <c r="F76" s="71"/>
      <c r="G76" s="71"/>
      <c r="H76" s="71"/>
      <c r="I76" s="72"/>
    </row>
    <row r="77" spans="1:9" ht="16" thickBot="1" x14ac:dyDescent="0.25">
      <c r="A77" s="73" t="s">
        <v>4</v>
      </c>
      <c r="B77" s="74"/>
      <c r="C77" s="75"/>
      <c r="D77" s="76">
        <v>0.68888888888888866</v>
      </c>
      <c r="E77" s="77"/>
      <c r="F77" s="77"/>
      <c r="G77" s="77"/>
      <c r="H77" s="77"/>
      <c r="I77" s="78"/>
    </row>
    <row r="78" spans="1:9" x14ac:dyDescent="0.2">
      <c r="A78" s="79"/>
      <c r="B78" s="79"/>
      <c r="C78" s="79"/>
      <c r="D78" s="79"/>
      <c r="E78" s="79"/>
      <c r="F78" s="79"/>
      <c r="G78" s="79"/>
      <c r="H78" s="79"/>
      <c r="I78" s="79"/>
    </row>
    <row r="79" spans="1:9" ht="14.5" customHeight="1" x14ac:dyDescent="0.2"/>
    <row r="80" spans="1:9" ht="15" customHeight="1" x14ac:dyDescent="0.2"/>
    <row r="92" ht="14.5" customHeight="1" x14ac:dyDescent="0.2"/>
    <row r="93" ht="15" customHeight="1" x14ac:dyDescent="0.2"/>
    <row r="105" ht="15" customHeight="1" x14ac:dyDescent="0.2"/>
    <row r="106" ht="15.75" customHeight="1" x14ac:dyDescent="0.2"/>
    <row r="118" ht="15" customHeight="1" x14ac:dyDescent="0.2"/>
    <row r="119" ht="15.7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57" ht="14.5" customHeight="1" x14ac:dyDescent="0.2"/>
    <row r="158" ht="15" customHeight="1" x14ac:dyDescent="0.2"/>
    <row r="170" ht="14.5" customHeight="1" x14ac:dyDescent="0.2"/>
    <row r="171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09" ht="14.5" customHeight="1" x14ac:dyDescent="0.2"/>
    <row r="210" ht="15" customHeight="1" x14ac:dyDescent="0.2"/>
    <row r="222" ht="14.5" customHeight="1" x14ac:dyDescent="0.2"/>
    <row r="223" ht="15" customHeight="1" x14ac:dyDescent="0.2"/>
    <row r="235" ht="14.5" customHeight="1" x14ac:dyDescent="0.2"/>
    <row r="236" ht="15" customHeight="1" x14ac:dyDescent="0.2"/>
    <row r="274" ht="14.5" customHeight="1" x14ac:dyDescent="0.2"/>
    <row r="275" ht="15" customHeight="1" x14ac:dyDescent="0.2"/>
    <row r="287" ht="14.5" customHeight="1" x14ac:dyDescent="0.2"/>
    <row r="288" ht="15" customHeight="1" x14ac:dyDescent="0.2"/>
    <row r="300" ht="14.5" customHeight="1" x14ac:dyDescent="0.2"/>
    <row r="301" ht="15" customHeight="1" x14ac:dyDescent="0.2"/>
  </sheetData>
  <mergeCells count="108">
    <mergeCell ref="D38:I38"/>
    <mergeCell ref="A72:C72"/>
    <mergeCell ref="D72:I72"/>
    <mergeCell ref="A66:I67"/>
    <mergeCell ref="A68:I68"/>
    <mergeCell ref="A69:I69"/>
    <mergeCell ref="A70:I70"/>
    <mergeCell ref="A71:I71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  <mergeCell ref="A38:C38"/>
    <mergeCell ref="A76:C76"/>
    <mergeCell ref="D76:I76"/>
    <mergeCell ref="A77:C77"/>
    <mergeCell ref="D77:I77"/>
    <mergeCell ref="A78:I78"/>
    <mergeCell ref="A73:C73"/>
    <mergeCell ref="D73:I73"/>
    <mergeCell ref="A74:C74"/>
    <mergeCell ref="D74:I74"/>
    <mergeCell ref="A75:C75"/>
    <mergeCell ref="D75:I75"/>
    <mergeCell ref="A40:I41"/>
    <mergeCell ref="A42:I42"/>
    <mergeCell ref="A43:I43"/>
    <mergeCell ref="A44:I44"/>
    <mergeCell ref="A45:I45"/>
    <mergeCell ref="A65:I65"/>
    <mergeCell ref="A62:C62"/>
    <mergeCell ref="D62:I62"/>
    <mergeCell ref="A63:C63"/>
    <mergeCell ref="D63:I63"/>
    <mergeCell ref="A64:C64"/>
    <mergeCell ref="D64:I64"/>
    <mergeCell ref="A59:C59"/>
    <mergeCell ref="D59:I59"/>
    <mergeCell ref="A60:C60"/>
    <mergeCell ref="D60:I60"/>
    <mergeCell ref="A61:C61"/>
    <mergeCell ref="D61:I61"/>
    <mergeCell ref="A53:I54"/>
    <mergeCell ref="A55:I55"/>
    <mergeCell ref="A56:I56"/>
    <mergeCell ref="A57:I57"/>
    <mergeCell ref="A58:I58"/>
    <mergeCell ref="A52:I52"/>
    <mergeCell ref="A49:C49"/>
    <mergeCell ref="D49:I49"/>
    <mergeCell ref="A50:C50"/>
    <mergeCell ref="D50:I50"/>
    <mergeCell ref="A51:C51"/>
    <mergeCell ref="D51:I51"/>
    <mergeCell ref="A46:C46"/>
    <mergeCell ref="D46:I46"/>
    <mergeCell ref="A47:C47"/>
    <mergeCell ref="D47:I47"/>
    <mergeCell ref="A48:C48"/>
    <mergeCell ref="D48:I48"/>
    <mergeCell ref="A1:I2"/>
    <mergeCell ref="A3:I3"/>
    <mergeCell ref="A4:I4"/>
    <mergeCell ref="A5:I5"/>
    <mergeCell ref="A6:I6"/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89" t="s">
        <v>46</v>
      </c>
      <c r="B1" s="89"/>
      <c r="C1" s="89"/>
      <c r="D1" s="89"/>
      <c r="E1" s="89"/>
      <c r="F1" s="89"/>
      <c r="G1" s="89"/>
      <c r="H1" s="89"/>
      <c r="I1" s="89"/>
    </row>
    <row r="2" spans="1:9" x14ac:dyDescent="0.2">
      <c r="A2" s="89"/>
      <c r="B2" s="89"/>
      <c r="C2" s="89"/>
      <c r="D2" s="89"/>
      <c r="E2" s="89"/>
      <c r="F2" s="89"/>
      <c r="G2" s="89"/>
      <c r="H2" s="89"/>
      <c r="I2" s="89"/>
    </row>
    <row r="3" spans="1:9" x14ac:dyDescent="0.2">
      <c r="A3" s="90"/>
      <c r="B3" s="90"/>
      <c r="C3" s="90"/>
      <c r="D3" s="90"/>
      <c r="E3" s="90"/>
      <c r="F3" s="90"/>
      <c r="G3" s="90"/>
      <c r="H3" s="90"/>
      <c r="I3" s="90"/>
    </row>
    <row r="4" spans="1:9" x14ac:dyDescent="0.2">
      <c r="A4" s="90"/>
      <c r="B4" s="90"/>
      <c r="C4" s="90"/>
      <c r="D4" s="90"/>
      <c r="E4" s="90"/>
      <c r="F4" s="90"/>
      <c r="G4" s="90"/>
      <c r="H4" s="90"/>
      <c r="I4" s="90"/>
    </row>
    <row r="5" spans="1:9" x14ac:dyDescent="0.2">
      <c r="A5" s="90"/>
      <c r="B5" s="90"/>
      <c r="C5" s="90"/>
      <c r="D5" s="90"/>
      <c r="E5" s="90"/>
      <c r="F5" s="90"/>
      <c r="G5" s="90"/>
      <c r="H5" s="90"/>
      <c r="I5" s="90"/>
    </row>
    <row r="6" spans="1:9" x14ac:dyDescent="0.2">
      <c r="A6" s="90"/>
      <c r="B6" s="90"/>
      <c r="C6" s="90"/>
      <c r="D6" s="90"/>
      <c r="E6" s="90"/>
      <c r="F6" s="90"/>
      <c r="G6" s="90"/>
      <c r="H6" s="90"/>
      <c r="I6" s="90"/>
    </row>
    <row r="7" spans="1:9" x14ac:dyDescent="0.2">
      <c r="A7" s="90"/>
      <c r="B7" s="90"/>
      <c r="C7" s="90"/>
      <c r="D7" s="90"/>
      <c r="E7" s="90"/>
      <c r="F7" s="90"/>
      <c r="G7" s="90"/>
      <c r="H7" s="90"/>
      <c r="I7" s="90"/>
    </row>
    <row r="8" spans="1:9" x14ac:dyDescent="0.2">
      <c r="A8" s="90"/>
      <c r="B8" s="90"/>
      <c r="C8" s="90"/>
      <c r="D8" s="90"/>
      <c r="E8" s="90"/>
      <c r="F8" s="90"/>
      <c r="G8" s="90"/>
      <c r="H8" s="90"/>
      <c r="I8" s="90"/>
    </row>
    <row r="9" spans="1:9" x14ac:dyDescent="0.2">
      <c r="A9" s="90"/>
      <c r="B9" s="90"/>
      <c r="C9" s="90"/>
      <c r="D9" s="90"/>
      <c r="E9" s="90"/>
      <c r="F9" s="90"/>
      <c r="G9" s="90"/>
      <c r="H9" s="90"/>
      <c r="I9" s="90"/>
    </row>
    <row r="10" spans="1:9" x14ac:dyDescent="0.2">
      <c r="A10" s="90"/>
      <c r="B10" s="90"/>
      <c r="C10" s="90"/>
      <c r="D10" s="90"/>
      <c r="E10" s="90"/>
      <c r="F10" s="90"/>
      <c r="G10" s="90"/>
      <c r="H10" s="90"/>
      <c r="I10" s="90"/>
    </row>
    <row r="11" spans="1:9" x14ac:dyDescent="0.2">
      <c r="A11" s="90"/>
      <c r="B11" s="90"/>
      <c r="C11" s="90"/>
      <c r="D11" s="90"/>
      <c r="E11" s="90"/>
      <c r="F11" s="90"/>
      <c r="G11" s="90"/>
      <c r="H11" s="90"/>
      <c r="I11" s="90"/>
    </row>
    <row r="12" spans="1:9" x14ac:dyDescent="0.2">
      <c r="A12" s="90"/>
      <c r="B12" s="90"/>
      <c r="C12" s="90"/>
      <c r="D12" s="90"/>
      <c r="E12" s="90"/>
      <c r="F12" s="90"/>
      <c r="G12" s="90"/>
      <c r="H12" s="90"/>
      <c r="I12" s="90"/>
    </row>
    <row r="13" spans="1:9" x14ac:dyDescent="0.2">
      <c r="A13" s="90"/>
      <c r="B13" s="90"/>
      <c r="C13" s="90"/>
      <c r="D13" s="90"/>
      <c r="E13" s="90"/>
      <c r="F13" s="90"/>
      <c r="G13" s="90"/>
      <c r="H13" s="90"/>
      <c r="I13" s="90"/>
    </row>
    <row r="14" spans="1:9" x14ac:dyDescent="0.2">
      <c r="A14" s="90"/>
      <c r="B14" s="90"/>
      <c r="C14" s="90"/>
      <c r="D14" s="90"/>
      <c r="E14" s="90"/>
      <c r="F14" s="90"/>
      <c r="G14" s="90"/>
      <c r="H14" s="90"/>
      <c r="I14" s="90"/>
    </row>
    <row r="15" spans="1:9" x14ac:dyDescent="0.2">
      <c r="A15" s="90"/>
      <c r="B15" s="90"/>
      <c r="C15" s="90"/>
      <c r="D15" s="90"/>
      <c r="E15" s="90"/>
      <c r="F15" s="90"/>
      <c r="G15" s="90"/>
      <c r="H15" s="90"/>
      <c r="I15" s="90"/>
    </row>
    <row r="16" spans="1:9" x14ac:dyDescent="0.2">
      <c r="A16" s="90"/>
      <c r="B16" s="90"/>
      <c r="C16" s="90"/>
      <c r="D16" s="90"/>
      <c r="E16" s="90"/>
      <c r="F16" s="90"/>
      <c r="G16" s="90"/>
      <c r="H16" s="90"/>
      <c r="I16" s="90"/>
    </row>
    <row r="17" spans="1:9" x14ac:dyDescent="0.2">
      <c r="A17" s="90"/>
      <c r="B17" s="90"/>
      <c r="C17" s="90"/>
      <c r="D17" s="90"/>
      <c r="E17" s="90"/>
      <c r="F17" s="90"/>
      <c r="G17" s="90"/>
      <c r="H17" s="90"/>
      <c r="I17" s="90"/>
    </row>
    <row r="18" spans="1:9" x14ac:dyDescent="0.2">
      <c r="A18" s="90"/>
      <c r="B18" s="90"/>
      <c r="C18" s="90"/>
      <c r="D18" s="90"/>
      <c r="E18" s="90"/>
      <c r="F18" s="90"/>
      <c r="G18" s="90"/>
      <c r="H18" s="90"/>
      <c r="I18" s="90"/>
    </row>
    <row r="19" spans="1:9" x14ac:dyDescent="0.2">
      <c r="A19" s="90"/>
      <c r="B19" s="90"/>
      <c r="C19" s="90"/>
      <c r="D19" s="90"/>
      <c r="E19" s="90"/>
      <c r="F19" s="90"/>
      <c r="G19" s="90"/>
      <c r="H19" s="90"/>
      <c r="I19" s="90"/>
    </row>
    <row r="20" spans="1:9" x14ac:dyDescent="0.2">
      <c r="A20" s="90"/>
      <c r="B20" s="90"/>
      <c r="C20" s="90"/>
      <c r="D20" s="90"/>
      <c r="E20" s="90"/>
      <c r="F20" s="90"/>
      <c r="G20" s="90"/>
      <c r="H20" s="90"/>
      <c r="I20" s="90"/>
    </row>
    <row r="21" spans="1:9" x14ac:dyDescent="0.2">
      <c r="A21" s="90"/>
      <c r="B21" s="90"/>
      <c r="C21" s="90"/>
      <c r="D21" s="90"/>
      <c r="E21" s="90"/>
      <c r="F21" s="90"/>
      <c r="G21" s="90"/>
      <c r="H21" s="90"/>
      <c r="I21" s="90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9" t="s">
        <v>0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6" thickBot="1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6" thickTop="1" x14ac:dyDescent="0.2">
      <c r="A3" s="92" t="s">
        <v>6</v>
      </c>
      <c r="B3" s="93"/>
      <c r="C3" s="94" t="s">
        <v>42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41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2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2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6" thickBot="1" x14ac:dyDescent="0.2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6" thickBot="1" x14ac:dyDescent="0.2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6" thickTop="1" x14ac:dyDescent="0.2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2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2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6" thickBot="1" x14ac:dyDescent="0.2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x14ac:dyDescent="0.2">
      <c r="A12" s="123" t="s">
        <v>14</v>
      </c>
      <c r="B12" s="124"/>
      <c r="C12" s="14"/>
      <c r="D12" s="125" t="s">
        <v>15</v>
      </c>
      <c r="E12" s="125"/>
      <c r="F12" s="126"/>
      <c r="G12" s="2">
        <v>0.5</v>
      </c>
      <c r="H12" s="3">
        <v>0.56597222222222221</v>
      </c>
      <c r="I12" s="4">
        <f>H12-G12</f>
        <v>6.597222222222221E-2</v>
      </c>
      <c r="J12" s="123">
        <v>44852</v>
      </c>
      <c r="K12" s="124"/>
      <c r="L12" s="14"/>
      <c r="M12" s="80" t="s">
        <v>16</v>
      </c>
      <c r="N12" s="80"/>
      <c r="O12" s="122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120" t="s">
        <v>17</v>
      </c>
      <c r="B13" s="121"/>
      <c r="C13" s="7"/>
      <c r="D13" s="80" t="s">
        <v>18</v>
      </c>
      <c r="E13" s="80"/>
      <c r="F13" s="122"/>
      <c r="G13" s="5">
        <v>0.53125</v>
      </c>
      <c r="H13" s="6">
        <v>0.64236111111111105</v>
      </c>
      <c r="I13" s="4">
        <f>H13-G13</f>
        <v>0.11111111111111105</v>
      </c>
      <c r="J13" s="120">
        <v>44853</v>
      </c>
      <c r="K13" s="121"/>
      <c r="L13" s="7"/>
      <c r="M13" s="80" t="s">
        <v>19</v>
      </c>
      <c r="N13" s="80"/>
      <c r="O13" s="122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120" t="s">
        <v>17</v>
      </c>
      <c r="B14" s="121"/>
      <c r="C14" s="7"/>
      <c r="D14" s="80" t="s">
        <v>20</v>
      </c>
      <c r="E14" s="80"/>
      <c r="F14" s="122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20">
        <v>44853</v>
      </c>
      <c r="K14" s="121"/>
      <c r="L14" s="17"/>
      <c r="M14" s="80" t="s">
        <v>21</v>
      </c>
      <c r="N14" s="80"/>
      <c r="O14" s="122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120" t="s">
        <v>22</v>
      </c>
      <c r="B15" s="121"/>
      <c r="C15" s="7"/>
      <c r="D15" s="80" t="s">
        <v>23</v>
      </c>
      <c r="E15" s="80"/>
      <c r="F15" s="122"/>
      <c r="G15" s="5">
        <v>0.33333333333333331</v>
      </c>
      <c r="H15" s="6">
        <v>0.4513888888888889</v>
      </c>
      <c r="I15" s="4">
        <f t="shared" si="0"/>
        <v>0.11805555555555558</v>
      </c>
      <c r="J15" s="120">
        <v>44854</v>
      </c>
      <c r="K15" s="121"/>
      <c r="L15" s="7"/>
      <c r="M15" s="80" t="s">
        <v>24</v>
      </c>
      <c r="N15" s="80"/>
      <c r="O15" s="122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120" t="s">
        <v>25</v>
      </c>
      <c r="B16" s="121"/>
      <c r="C16" s="7"/>
      <c r="D16" s="80" t="s">
        <v>26</v>
      </c>
      <c r="E16" s="80"/>
      <c r="F16" s="122"/>
      <c r="G16" s="5">
        <v>0.36805555555555558</v>
      </c>
      <c r="H16" s="6">
        <v>0.4513888888888889</v>
      </c>
      <c r="I16" s="4">
        <f t="shared" si="0"/>
        <v>8.3333333333333315E-2</v>
      </c>
      <c r="J16" s="120">
        <v>44855</v>
      </c>
      <c r="K16" s="127"/>
      <c r="L16" s="7"/>
      <c r="M16" s="80" t="s">
        <v>27</v>
      </c>
      <c r="N16" s="80"/>
      <c r="O16" s="122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120" t="s">
        <v>28</v>
      </c>
      <c r="B17" s="121"/>
      <c r="C17" s="7"/>
      <c r="D17" s="80" t="s">
        <v>29</v>
      </c>
      <c r="E17" s="80"/>
      <c r="F17" s="122"/>
      <c r="G17" s="5">
        <v>0.77083333333333337</v>
      </c>
      <c r="H17" s="6">
        <v>0.85416666666666663</v>
      </c>
      <c r="I17" s="4">
        <f t="shared" si="0"/>
        <v>8.3333333333333259E-2</v>
      </c>
      <c r="J17" s="120">
        <v>44877</v>
      </c>
      <c r="K17" s="121"/>
      <c r="L17" s="7"/>
      <c r="M17" s="80" t="s">
        <v>30</v>
      </c>
      <c r="N17" s="80"/>
      <c r="O17" s="122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120" t="s">
        <v>28</v>
      </c>
      <c r="B18" s="121"/>
      <c r="C18" s="7"/>
      <c r="D18" s="80" t="s">
        <v>31</v>
      </c>
      <c r="E18" s="80"/>
      <c r="F18" s="122"/>
      <c r="G18" s="5">
        <v>0.85416666666666663</v>
      </c>
      <c r="H18" s="6">
        <v>0.89583333333333337</v>
      </c>
      <c r="I18" s="4">
        <f t="shared" si="0"/>
        <v>4.1666666666666741E-2</v>
      </c>
      <c r="J18" s="120">
        <v>44846</v>
      </c>
      <c r="K18" s="121"/>
      <c r="L18" s="7"/>
      <c r="M18" s="80" t="s">
        <v>32</v>
      </c>
      <c r="N18" s="80"/>
      <c r="O18" s="122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120">
        <v>44878</v>
      </c>
      <c r="B19" s="121"/>
      <c r="C19" s="7"/>
      <c r="D19" s="80" t="s">
        <v>33</v>
      </c>
      <c r="E19" s="80"/>
      <c r="F19" s="122"/>
      <c r="G19" s="5">
        <v>0.33333333333333331</v>
      </c>
      <c r="H19" s="6">
        <v>0.48958333333333331</v>
      </c>
      <c r="I19" s="4">
        <f t="shared" si="0"/>
        <v>0.15625</v>
      </c>
      <c r="J19" s="120">
        <v>44878</v>
      </c>
      <c r="K19" s="121"/>
      <c r="L19" s="7"/>
      <c r="M19" s="80" t="s">
        <v>34</v>
      </c>
      <c r="N19" s="80"/>
      <c r="O19" s="122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120" t="s">
        <v>35</v>
      </c>
      <c r="B20" s="121"/>
      <c r="C20" s="7"/>
      <c r="D20" s="80" t="s">
        <v>36</v>
      </c>
      <c r="E20" s="80"/>
      <c r="F20" s="122"/>
      <c r="G20" s="5">
        <v>0.41666666666666669</v>
      </c>
      <c r="H20" s="6">
        <v>0.5</v>
      </c>
      <c r="I20" s="4">
        <f t="shared" si="0"/>
        <v>8.3333333333333315E-2</v>
      </c>
      <c r="J20" s="120">
        <v>44879</v>
      </c>
      <c r="K20" s="121"/>
      <c r="L20" s="7"/>
      <c r="M20" s="80" t="s">
        <v>37</v>
      </c>
      <c r="N20" s="80"/>
      <c r="O20" s="122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120" t="s">
        <v>39</v>
      </c>
      <c r="B21" s="121"/>
      <c r="C21" s="7"/>
      <c r="D21" s="80" t="s">
        <v>40</v>
      </c>
      <c r="E21" s="80"/>
      <c r="F21" s="122"/>
      <c r="G21" s="5">
        <v>0.36805555555555558</v>
      </c>
      <c r="H21" s="6">
        <v>0.44722222222222219</v>
      </c>
      <c r="I21" s="4">
        <f t="shared" si="0"/>
        <v>7.9166666666666607E-2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2">
      <c r="A22" s="120" t="s">
        <v>39</v>
      </c>
      <c r="B22" s="121"/>
      <c r="C22" s="7"/>
      <c r="D22" s="121" t="s">
        <v>47</v>
      </c>
      <c r="E22" s="121"/>
      <c r="F22" s="128"/>
      <c r="G22" s="5">
        <v>0.45833333333333331</v>
      </c>
      <c r="H22" s="6">
        <v>0.47916666666666669</v>
      </c>
      <c r="I22" s="4">
        <f t="shared" si="0"/>
        <v>2.083333333333337E-2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2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2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2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2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2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2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2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2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2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2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2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2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2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2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2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2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2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2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2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2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2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2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2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2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2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2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6" thickBot="1" x14ac:dyDescent="0.2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6" thickBot="1" x14ac:dyDescent="0.2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0.87777777777777743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0.68888888888888866</v>
      </c>
    </row>
    <row r="51" spans="1:18" ht="16" thickTop="1" x14ac:dyDescent="0.2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89" t="s">
        <v>48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6" thickBot="1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6" thickTop="1" x14ac:dyDescent="0.2">
      <c r="A3" s="92" t="s">
        <v>6</v>
      </c>
      <c r="B3" s="93"/>
      <c r="C3" s="94" t="s">
        <v>49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49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2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2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6" thickBot="1" x14ac:dyDescent="0.2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6" thickBot="1" x14ac:dyDescent="0.2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6" thickTop="1" x14ac:dyDescent="0.2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2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2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6" thickBot="1" x14ac:dyDescent="0.2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x14ac:dyDescent="0.2">
      <c r="A12" s="123" t="s">
        <v>50</v>
      </c>
      <c r="B12" s="124"/>
      <c r="C12" s="14"/>
      <c r="D12" s="125" t="s">
        <v>51</v>
      </c>
      <c r="E12" s="125"/>
      <c r="F12" s="126"/>
      <c r="G12" s="2">
        <v>0.33333333333333331</v>
      </c>
      <c r="H12" s="3">
        <v>0.5</v>
      </c>
      <c r="I12" s="4">
        <f>H12-G12</f>
        <v>0.16666666666666669</v>
      </c>
      <c r="J12" s="120">
        <v>44881</v>
      </c>
      <c r="K12" s="121"/>
      <c r="L12" s="14"/>
      <c r="M12" s="136" t="s">
        <v>64</v>
      </c>
      <c r="N12" s="136"/>
      <c r="O12" s="137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120">
        <v>44881</v>
      </c>
      <c r="B13" s="121"/>
      <c r="C13" s="7"/>
      <c r="D13" s="80" t="s">
        <v>52</v>
      </c>
      <c r="E13" s="80"/>
      <c r="F13" s="122"/>
      <c r="G13" s="5">
        <v>0.6166666666666667</v>
      </c>
      <c r="H13" s="6">
        <v>0.71597222222222223</v>
      </c>
      <c r="I13" s="20">
        <f>H13-G13</f>
        <v>9.9305555555555536E-2</v>
      </c>
      <c r="J13" s="120">
        <v>44891</v>
      </c>
      <c r="K13" s="128"/>
      <c r="M13" s="136" t="s">
        <v>66</v>
      </c>
      <c r="N13" s="136"/>
      <c r="O13" s="137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120" t="s">
        <v>53</v>
      </c>
      <c r="B14" s="121"/>
      <c r="C14" s="7"/>
      <c r="D14" s="80" t="s">
        <v>54</v>
      </c>
      <c r="E14" s="80"/>
      <c r="F14" s="122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20">
        <v>44892</v>
      </c>
      <c r="K14" s="128"/>
      <c r="M14" s="136" t="s">
        <v>65</v>
      </c>
      <c r="N14" s="136"/>
      <c r="O14" s="137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120" t="s">
        <v>53</v>
      </c>
      <c r="B15" s="121"/>
      <c r="C15" s="7"/>
      <c r="D15" s="80" t="s">
        <v>55</v>
      </c>
      <c r="E15" s="80"/>
      <c r="F15" s="122"/>
      <c r="G15" s="5">
        <v>0.53611111111111109</v>
      </c>
      <c r="H15" s="6">
        <v>0.56597222222222221</v>
      </c>
      <c r="I15" s="4">
        <f t="shared" si="0"/>
        <v>2.9861111111111116E-2</v>
      </c>
      <c r="J15" s="120">
        <v>44893</v>
      </c>
      <c r="K15" s="128"/>
      <c r="L15" s="22"/>
      <c r="M15" s="136" t="s">
        <v>63</v>
      </c>
      <c r="N15" s="136"/>
      <c r="O15" s="137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120" t="s">
        <v>53</v>
      </c>
      <c r="B16" s="121"/>
      <c r="C16" s="7"/>
      <c r="D16" s="80" t="s">
        <v>56</v>
      </c>
      <c r="E16" s="80"/>
      <c r="F16" s="122"/>
      <c r="G16" s="5">
        <v>0.56944444444444442</v>
      </c>
      <c r="H16" s="6">
        <v>0.60902777777777783</v>
      </c>
      <c r="I16" s="4">
        <f t="shared" si="0"/>
        <v>3.9583333333333415E-2</v>
      </c>
      <c r="J16" s="120">
        <v>44893</v>
      </c>
      <c r="K16" s="128"/>
      <c r="L16" s="22"/>
      <c r="M16" s="136" t="s">
        <v>69</v>
      </c>
      <c r="N16" s="136"/>
      <c r="O16" s="137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120" t="s">
        <v>57</v>
      </c>
      <c r="B17" s="121"/>
      <c r="C17" s="7"/>
      <c r="D17" s="80" t="s">
        <v>58</v>
      </c>
      <c r="E17" s="80"/>
      <c r="F17" s="122"/>
      <c r="G17" s="5">
        <v>0.5</v>
      </c>
      <c r="H17" s="6">
        <v>0.53819444444444442</v>
      </c>
      <c r="I17" s="4">
        <f t="shared" si="0"/>
        <v>3.819444444444442E-2</v>
      </c>
      <c r="J17" s="120"/>
      <c r="K17" s="121"/>
      <c r="L17" s="7"/>
      <c r="M17" s="80"/>
      <c r="N17" s="80"/>
      <c r="O17" s="122"/>
      <c r="P17" s="5"/>
      <c r="Q17" s="6"/>
      <c r="R17" s="4">
        <f>Q17-P17</f>
        <v>0</v>
      </c>
    </row>
    <row r="18" spans="1:18" x14ac:dyDescent="0.2">
      <c r="A18" s="120" t="s">
        <v>59</v>
      </c>
      <c r="B18" s="121"/>
      <c r="C18" s="7"/>
      <c r="D18" s="80" t="s">
        <v>60</v>
      </c>
      <c r="E18" s="80"/>
      <c r="F18" s="122"/>
      <c r="G18" s="5">
        <v>0.58333333333333337</v>
      </c>
      <c r="H18" s="6">
        <v>0.66875000000000007</v>
      </c>
      <c r="I18" s="4">
        <f t="shared" si="0"/>
        <v>8.5416666666666696E-2</v>
      </c>
      <c r="J18" s="120"/>
      <c r="K18" s="121"/>
      <c r="L18" s="7"/>
      <c r="M18" s="80"/>
      <c r="N18" s="80"/>
      <c r="O18" s="122"/>
      <c r="P18" s="5"/>
      <c r="Q18" s="6"/>
      <c r="R18" s="4">
        <f t="shared" si="1"/>
        <v>0</v>
      </c>
    </row>
    <row r="19" spans="1:18" x14ac:dyDescent="0.2">
      <c r="A19" s="120" t="s">
        <v>61</v>
      </c>
      <c r="B19" s="121"/>
      <c r="C19" s="7"/>
      <c r="D19" s="80" t="s">
        <v>62</v>
      </c>
      <c r="E19" s="80"/>
      <c r="F19" s="122"/>
      <c r="G19" s="5">
        <v>0.41666666666666669</v>
      </c>
      <c r="H19" s="6">
        <v>0.55486111111111114</v>
      </c>
      <c r="I19" s="4">
        <f t="shared" si="0"/>
        <v>0.13819444444444445</v>
      </c>
      <c r="J19" s="120"/>
      <c r="K19" s="121"/>
      <c r="L19" s="7"/>
      <c r="M19" s="80"/>
      <c r="N19" s="80"/>
      <c r="O19" s="122"/>
      <c r="P19" s="5"/>
      <c r="Q19" s="6"/>
      <c r="R19" s="4">
        <f t="shared" si="1"/>
        <v>0</v>
      </c>
    </row>
    <row r="20" spans="1:18" x14ac:dyDescent="0.2">
      <c r="A20" s="120" t="s">
        <v>67</v>
      </c>
      <c r="B20" s="121"/>
      <c r="C20" s="7"/>
      <c r="D20" s="80" t="s">
        <v>68</v>
      </c>
      <c r="E20" s="80"/>
      <c r="F20" s="122"/>
      <c r="G20" s="5">
        <v>0.33333333333333331</v>
      </c>
      <c r="H20" s="6">
        <v>0.4375</v>
      </c>
      <c r="I20" s="4">
        <f t="shared" si="0"/>
        <v>0.10416666666666669</v>
      </c>
      <c r="J20" s="120"/>
      <c r="K20" s="121"/>
      <c r="L20" s="7"/>
      <c r="M20" s="80"/>
      <c r="N20" s="80"/>
      <c r="O20" s="122"/>
      <c r="P20" s="5"/>
      <c r="Q20" s="6"/>
      <c r="R20" s="4">
        <f>Q20-P20</f>
        <v>0</v>
      </c>
    </row>
    <row r="21" spans="1:18" x14ac:dyDescent="0.2">
      <c r="A21" s="120" t="s">
        <v>67</v>
      </c>
      <c r="B21" s="121"/>
      <c r="C21" s="7"/>
      <c r="D21" s="80" t="s">
        <v>70</v>
      </c>
      <c r="E21" s="80"/>
      <c r="F21" s="122"/>
      <c r="G21" s="5">
        <v>0.44791666666666669</v>
      </c>
      <c r="H21" s="6">
        <v>0.48958333333333331</v>
      </c>
      <c r="I21" s="4">
        <f t="shared" si="0"/>
        <v>4.166666666666663E-2</v>
      </c>
      <c r="J21" s="120"/>
      <c r="K21" s="121"/>
      <c r="L21" s="7"/>
      <c r="M21" s="80"/>
      <c r="N21" s="80"/>
      <c r="O21" s="122"/>
      <c r="P21" s="5"/>
      <c r="Q21" s="6"/>
      <c r="R21" s="4">
        <f t="shared" si="1"/>
        <v>0</v>
      </c>
    </row>
    <row r="22" spans="1:18" x14ac:dyDescent="0.2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2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2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2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2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2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0"/>
      <c r="K27" s="121"/>
      <c r="L27" s="7"/>
      <c r="M27" s="121"/>
      <c r="N27" s="121"/>
      <c r="O27" s="128"/>
      <c r="P27" s="5"/>
      <c r="Q27" s="6"/>
      <c r="R27" s="4">
        <f t="shared" si="1"/>
        <v>0</v>
      </c>
    </row>
    <row r="28" spans="1:18" x14ac:dyDescent="0.2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2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2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2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2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2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2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2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2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2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2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2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2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2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29"/>
      <c r="K41" s="121"/>
      <c r="L41" s="7"/>
      <c r="M41" s="121"/>
      <c r="N41" s="121"/>
      <c r="O41" s="128"/>
      <c r="P41" s="7"/>
      <c r="Q41" s="8"/>
      <c r="R41" s="4">
        <f t="shared" si="1"/>
        <v>0</v>
      </c>
    </row>
    <row r="42" spans="1:18" x14ac:dyDescent="0.2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30"/>
      <c r="K42" s="131"/>
      <c r="L42" s="7"/>
      <c r="M42" s="121"/>
      <c r="N42" s="121"/>
      <c r="O42" s="128"/>
      <c r="P42" s="9"/>
      <c r="Q42" s="1"/>
      <c r="R42" s="4">
        <f>Q42-P42</f>
        <v>0</v>
      </c>
    </row>
    <row r="43" spans="1:18" x14ac:dyDescent="0.2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ref="R43:R49" si="2">Q43-P43</f>
        <v>0</v>
      </c>
    </row>
    <row r="44" spans="1:18" x14ac:dyDescent="0.2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2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2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2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2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6" thickBot="1" x14ac:dyDescent="0.2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7"/>
      <c r="M49" s="121"/>
      <c r="N49" s="121"/>
      <c r="O49" s="128"/>
      <c r="P49" s="7"/>
      <c r="Q49" s="8"/>
      <c r="R49" s="4">
        <f t="shared" si="2"/>
        <v>0</v>
      </c>
    </row>
    <row r="50" spans="1:18" ht="16" thickBot="1" x14ac:dyDescent="0.2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0.80347222222222248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0.43055555555555552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9" t="s">
        <v>71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6" thickBot="1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6" thickTop="1" x14ac:dyDescent="0.2">
      <c r="A3" s="92" t="s">
        <v>6</v>
      </c>
      <c r="B3" s="93"/>
      <c r="C3" s="94" t="s">
        <v>85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85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2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2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6" thickBot="1" x14ac:dyDescent="0.2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6" thickBot="1" x14ac:dyDescent="0.2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6" thickTop="1" x14ac:dyDescent="0.2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2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2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6" thickBot="1" x14ac:dyDescent="0.2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x14ac:dyDescent="0.2">
      <c r="A12" s="123" t="s">
        <v>79</v>
      </c>
      <c r="B12" s="124"/>
      <c r="C12" s="14"/>
      <c r="D12" s="125" t="s">
        <v>80</v>
      </c>
      <c r="E12" s="125"/>
      <c r="F12" s="126"/>
      <c r="G12" s="23">
        <v>0.53125</v>
      </c>
      <c r="H12" s="3">
        <v>0.64236111111111105</v>
      </c>
      <c r="I12" s="4">
        <f>H12-G12</f>
        <v>0.11111111111111105</v>
      </c>
      <c r="J12" s="123">
        <v>44902</v>
      </c>
      <c r="K12" s="124"/>
      <c r="L12" s="14"/>
      <c r="M12" s="80" t="s">
        <v>72</v>
      </c>
      <c r="N12" s="80"/>
      <c r="O12" s="122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120" t="s">
        <v>78</v>
      </c>
      <c r="B13" s="121"/>
      <c r="C13" s="7"/>
      <c r="D13" s="80" t="s">
        <v>72</v>
      </c>
      <c r="E13" s="80"/>
      <c r="F13" s="122"/>
      <c r="G13" s="24">
        <v>0.375</v>
      </c>
      <c r="H13" s="6">
        <v>0.48958333333333331</v>
      </c>
      <c r="I13" s="4">
        <f>H13-G13</f>
        <v>0.11458333333333331</v>
      </c>
      <c r="J13" s="120">
        <v>44903</v>
      </c>
      <c r="K13" s="121"/>
      <c r="L13" s="7"/>
      <c r="M13" s="80" t="s">
        <v>73</v>
      </c>
      <c r="N13" s="80"/>
      <c r="O13" s="122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120" t="s">
        <v>82</v>
      </c>
      <c r="B14" s="121"/>
      <c r="C14" s="7"/>
      <c r="D14" s="138" t="s">
        <v>76</v>
      </c>
      <c r="E14" s="138"/>
      <c r="F14" s="139"/>
      <c r="G14" s="5">
        <v>0.66666666666666663</v>
      </c>
      <c r="H14" s="6">
        <v>0.71875</v>
      </c>
      <c r="I14" s="4">
        <f t="shared" ref="I14:I49" si="0">H14-G14</f>
        <v>5.208333333333337E-2</v>
      </c>
      <c r="J14" s="120">
        <v>44903</v>
      </c>
      <c r="K14" s="121"/>
      <c r="L14" s="17"/>
      <c r="M14" s="80" t="s">
        <v>74</v>
      </c>
      <c r="N14" s="80"/>
      <c r="O14" s="122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120" t="s">
        <v>81</v>
      </c>
      <c r="B15" s="121"/>
      <c r="C15" s="7"/>
      <c r="D15" s="80" t="s">
        <v>84</v>
      </c>
      <c r="E15" s="80"/>
      <c r="F15" s="122"/>
      <c r="G15" s="5">
        <v>0.36805555555555558</v>
      </c>
      <c r="H15" s="6">
        <v>0.48958333333333331</v>
      </c>
      <c r="I15" s="4">
        <f t="shared" si="0"/>
        <v>0.12152777777777773</v>
      </c>
      <c r="J15" s="120">
        <v>44904</v>
      </c>
      <c r="K15" s="121"/>
      <c r="L15" s="7"/>
      <c r="M15" s="80" t="s">
        <v>75</v>
      </c>
      <c r="N15" s="80"/>
      <c r="O15" s="122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120" t="s">
        <v>81</v>
      </c>
      <c r="B16" s="121"/>
      <c r="C16" s="7"/>
      <c r="D16" s="80" t="s">
        <v>83</v>
      </c>
      <c r="E16" s="80"/>
      <c r="F16" s="122"/>
      <c r="G16" s="5">
        <v>0.75</v>
      </c>
      <c r="H16" s="6">
        <v>0.86458333333333337</v>
      </c>
      <c r="I16" s="4">
        <f t="shared" si="0"/>
        <v>0.11458333333333337</v>
      </c>
      <c r="J16" s="120">
        <v>44905</v>
      </c>
      <c r="K16" s="127"/>
      <c r="L16" s="7"/>
      <c r="M16" s="80" t="s">
        <v>76</v>
      </c>
      <c r="N16" s="80"/>
      <c r="O16" s="122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2">
      <c r="A17" s="120"/>
      <c r="B17" s="121"/>
      <c r="C17" s="7"/>
      <c r="D17" s="80"/>
      <c r="E17" s="80"/>
      <c r="F17" s="122"/>
      <c r="G17" s="5"/>
      <c r="H17" s="6"/>
      <c r="I17" s="4">
        <f t="shared" si="0"/>
        <v>0</v>
      </c>
      <c r="J17" s="120">
        <v>44906</v>
      </c>
      <c r="K17" s="121"/>
      <c r="L17" s="7"/>
      <c r="M17" s="80" t="s">
        <v>77</v>
      </c>
      <c r="N17" s="80"/>
      <c r="O17" s="122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2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/>
      <c r="Q18" s="6"/>
      <c r="R18" s="4">
        <f t="shared" si="1"/>
        <v>0</v>
      </c>
    </row>
    <row r="19" spans="1:18" x14ac:dyDescent="0.2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>Q19-P19</f>
        <v>0</v>
      </c>
    </row>
    <row r="20" spans="1:18" x14ac:dyDescent="0.2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80"/>
      <c r="N20" s="80"/>
      <c r="O20" s="122"/>
      <c r="P20" s="5"/>
      <c r="Q20" s="6"/>
      <c r="R20" s="4">
        <f t="shared" si="1"/>
        <v>0</v>
      </c>
    </row>
    <row r="21" spans="1:18" x14ac:dyDescent="0.2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2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2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2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2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2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2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2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2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2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2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2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2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2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2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2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2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2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2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2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2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2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2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2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2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2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2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2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6" thickBot="1" x14ac:dyDescent="0.2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6" thickBot="1" x14ac:dyDescent="0.2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0.51388888888888884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0.46527777777777773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9" t="s">
        <v>86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6" thickBot="1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6" thickTop="1" x14ac:dyDescent="0.2">
      <c r="A3" s="92" t="s">
        <v>6</v>
      </c>
      <c r="B3" s="93"/>
      <c r="C3" s="140" t="s">
        <v>87</v>
      </c>
      <c r="D3" s="95"/>
      <c r="E3" s="95"/>
      <c r="F3" s="95"/>
      <c r="G3" s="95"/>
      <c r="H3" s="95"/>
      <c r="I3" s="96"/>
      <c r="J3" s="92" t="s">
        <v>6</v>
      </c>
      <c r="K3" s="93"/>
      <c r="L3" s="141" t="s">
        <v>87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2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2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6" thickBot="1" x14ac:dyDescent="0.2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6" thickBot="1" x14ac:dyDescent="0.2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6" thickTop="1" x14ac:dyDescent="0.2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2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2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6" thickBot="1" x14ac:dyDescent="0.2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x14ac:dyDescent="0.2">
      <c r="A12" s="123" t="s">
        <v>99</v>
      </c>
      <c r="B12" s="142"/>
      <c r="C12" s="14"/>
      <c r="D12" s="125" t="s">
        <v>100</v>
      </c>
      <c r="E12" s="125"/>
      <c r="F12" s="126"/>
      <c r="G12" s="2">
        <v>0.8125</v>
      </c>
      <c r="H12" s="3">
        <v>0.83333333333333337</v>
      </c>
      <c r="I12" s="4">
        <f>H12-G12</f>
        <v>2.083333333333337E-2</v>
      </c>
      <c r="J12" s="123">
        <v>44944</v>
      </c>
      <c r="K12" s="124"/>
      <c r="L12" s="14"/>
      <c r="M12" s="80" t="s">
        <v>89</v>
      </c>
      <c r="N12" s="80"/>
      <c r="O12" s="122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2">
      <c r="A13" s="120" t="s">
        <v>94</v>
      </c>
      <c r="B13" s="127"/>
      <c r="C13" s="7"/>
      <c r="D13" s="80" t="s">
        <v>101</v>
      </c>
      <c r="E13" s="80"/>
      <c r="F13" s="122"/>
      <c r="G13" s="5">
        <v>0.53125</v>
      </c>
      <c r="H13" s="6">
        <v>0.64236111111111105</v>
      </c>
      <c r="I13" s="4">
        <f>H13-G13</f>
        <v>0.11111111111111105</v>
      </c>
      <c r="J13" s="120">
        <v>44948</v>
      </c>
      <c r="K13" s="121"/>
      <c r="L13" s="7"/>
      <c r="M13" s="80" t="s">
        <v>91</v>
      </c>
      <c r="N13" s="80"/>
      <c r="O13" s="122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2">
      <c r="A14" s="120" t="s">
        <v>95</v>
      </c>
      <c r="B14" s="127"/>
      <c r="C14" s="7"/>
      <c r="D14" s="80" t="s">
        <v>103</v>
      </c>
      <c r="E14" s="80"/>
      <c r="F14" s="122"/>
      <c r="G14" s="5">
        <v>0.58333333333333337</v>
      </c>
      <c r="H14" s="6">
        <v>0.70833333333333337</v>
      </c>
      <c r="I14" s="4">
        <f t="shared" ref="I14:I49" si="0">H14-G14</f>
        <v>0.125</v>
      </c>
      <c r="J14" s="120">
        <v>44949</v>
      </c>
      <c r="K14" s="121"/>
      <c r="L14" s="7"/>
      <c r="M14" s="80" t="s">
        <v>90</v>
      </c>
      <c r="N14" s="80"/>
      <c r="O14" s="122"/>
      <c r="P14" s="5">
        <v>0.75</v>
      </c>
      <c r="Q14" s="6">
        <v>0.875</v>
      </c>
      <c r="R14" s="4">
        <f>SUM(Q14-P14)</f>
        <v>0.125</v>
      </c>
    </row>
    <row r="15" spans="1:23" x14ac:dyDescent="0.2">
      <c r="A15" s="120" t="s">
        <v>96</v>
      </c>
      <c r="B15" s="127"/>
      <c r="C15" s="7"/>
      <c r="D15" s="80" t="s">
        <v>102</v>
      </c>
      <c r="E15" s="80"/>
      <c r="F15" s="122"/>
      <c r="G15" s="5">
        <v>0.41666666666666669</v>
      </c>
      <c r="H15" s="6">
        <v>0.52083333333333337</v>
      </c>
      <c r="I15" s="4">
        <f t="shared" si="0"/>
        <v>0.10416666666666669</v>
      </c>
      <c r="J15" s="120">
        <v>44949</v>
      </c>
      <c r="K15" s="127"/>
      <c r="L15" s="7"/>
      <c r="M15" s="80" t="s">
        <v>92</v>
      </c>
      <c r="N15" s="80"/>
      <c r="O15" s="122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2">
      <c r="A16" s="120" t="s">
        <v>97</v>
      </c>
      <c r="B16" s="127"/>
      <c r="C16" s="7"/>
      <c r="D16" s="80" t="s">
        <v>104</v>
      </c>
      <c r="E16" s="80"/>
      <c r="F16" s="122"/>
      <c r="G16" s="5">
        <v>0.83333333333333337</v>
      </c>
      <c r="H16" s="6">
        <v>0.94930555555555562</v>
      </c>
      <c r="I16" s="4">
        <f t="shared" si="0"/>
        <v>0.11597222222222225</v>
      </c>
      <c r="J16" s="120">
        <v>44950</v>
      </c>
      <c r="K16" s="121"/>
      <c r="L16" s="7"/>
      <c r="M16" s="80" t="s">
        <v>93</v>
      </c>
      <c r="N16" s="80"/>
      <c r="O16" s="122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2">
      <c r="A17" s="120" t="s">
        <v>98</v>
      </c>
      <c r="B17" s="121"/>
      <c r="C17" s="7"/>
      <c r="D17" s="80" t="s">
        <v>105</v>
      </c>
      <c r="E17" s="80"/>
      <c r="F17" s="122"/>
      <c r="G17" s="5">
        <v>0.36805555555555558</v>
      </c>
      <c r="H17" s="6">
        <v>0.53125</v>
      </c>
      <c r="I17" s="4">
        <f t="shared" si="0"/>
        <v>0.16319444444444442</v>
      </c>
      <c r="J17" s="120"/>
      <c r="K17" s="121"/>
      <c r="L17" s="7"/>
      <c r="M17" s="80"/>
      <c r="N17" s="80"/>
      <c r="O17" s="122"/>
      <c r="P17" s="5"/>
      <c r="Q17" s="6"/>
      <c r="R17" s="4">
        <v>0</v>
      </c>
    </row>
    <row r="18" spans="1:18" x14ac:dyDescent="0.2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 t="s">
        <v>88</v>
      </c>
      <c r="Q18" s="6"/>
      <c r="R18" s="4">
        <v>0</v>
      </c>
    </row>
    <row r="19" spans="1:18" x14ac:dyDescent="0.2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 t="shared" ref="R19:R38" si="1">Q19-P19</f>
        <v>0</v>
      </c>
    </row>
    <row r="20" spans="1:18" x14ac:dyDescent="0.2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121"/>
      <c r="N20" s="121"/>
      <c r="O20" s="128"/>
      <c r="P20" s="5"/>
      <c r="Q20" s="6"/>
      <c r="R20" s="4">
        <f t="shared" si="1"/>
        <v>0</v>
      </c>
    </row>
    <row r="21" spans="1:18" x14ac:dyDescent="0.2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2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2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2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2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2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9"/>
      <c r="K26" s="121"/>
      <c r="L26" s="7"/>
      <c r="M26" s="121"/>
      <c r="N26" s="121"/>
      <c r="O26" s="128"/>
      <c r="P26" s="7"/>
      <c r="Q26" s="8"/>
      <c r="R26" s="4">
        <f t="shared" si="1"/>
        <v>0</v>
      </c>
    </row>
    <row r="27" spans="1:18" x14ac:dyDescent="0.2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2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2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2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2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2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2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2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2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2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2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2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2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30"/>
      <c r="K39" s="131"/>
      <c r="L39" s="7"/>
      <c r="M39" s="121"/>
      <c r="N39" s="121"/>
      <c r="O39" s="128"/>
      <c r="P39" s="9"/>
      <c r="Q39" s="1"/>
      <c r="R39" s="4">
        <f>Q39-P39</f>
        <v>0</v>
      </c>
    </row>
    <row r="40" spans="1:18" x14ac:dyDescent="0.2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30"/>
      <c r="K40" s="131"/>
      <c r="L40" s="7"/>
      <c r="M40" s="121"/>
      <c r="N40" s="121"/>
      <c r="O40" s="128"/>
      <c r="P40" s="9"/>
      <c r="Q40" s="1"/>
      <c r="R40" s="4">
        <f>Q40-P40</f>
        <v>0</v>
      </c>
    </row>
    <row r="41" spans="1:18" x14ac:dyDescent="0.2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29"/>
      <c r="K41" s="121"/>
      <c r="L41" s="7"/>
      <c r="M41" s="121"/>
      <c r="N41" s="121"/>
      <c r="O41" s="128"/>
      <c r="P41" s="7"/>
      <c r="Q41" s="8"/>
      <c r="R41" s="4">
        <f t="shared" ref="R41:R49" si="2">Q41-P41</f>
        <v>0</v>
      </c>
    </row>
    <row r="42" spans="1:18" x14ac:dyDescent="0.2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si="2"/>
        <v>0</v>
      </c>
    </row>
    <row r="43" spans="1:18" x14ac:dyDescent="0.2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2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2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2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2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2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6" thickBot="1" x14ac:dyDescent="0.2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86"/>
      <c r="K49" s="87"/>
      <c r="L49" s="10"/>
      <c r="M49" s="121"/>
      <c r="N49" s="121"/>
      <c r="O49" s="128"/>
      <c r="P49" s="10"/>
      <c r="Q49" s="11"/>
      <c r="R49" s="12">
        <f t="shared" si="2"/>
        <v>0</v>
      </c>
    </row>
    <row r="50" spans="1:18" ht="16" thickBot="1" x14ac:dyDescent="0.2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0.64027777777777772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0.60416666666666674</v>
      </c>
    </row>
    <row r="51" spans="1:18" ht="16" thickTop="1" x14ac:dyDescent="0.2"/>
  </sheetData>
  <mergeCells count="189"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workbookViewId="0">
      <selection activeCell="C3" sqref="C3:I3"/>
    </sheetView>
  </sheetViews>
  <sheetFormatPr baseColWidth="10" defaultColWidth="8.83203125" defaultRowHeight="15" x14ac:dyDescent="0.2"/>
  <cols>
    <col min="4" max="6" width="8.83203125" style="15"/>
    <col min="16" max="16" width="13" bestFit="1" customWidth="1"/>
  </cols>
  <sheetData>
    <row r="1" spans="1:23" x14ac:dyDescent="0.2">
      <c r="A1" s="89" t="s">
        <v>107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6" thickBot="1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6" thickTop="1" x14ac:dyDescent="0.2">
      <c r="A3" s="92" t="s">
        <v>6</v>
      </c>
      <c r="B3" s="93"/>
      <c r="C3" s="94" t="s">
        <v>106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106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2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2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6" thickBot="1" x14ac:dyDescent="0.2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6" thickBot="1" x14ac:dyDescent="0.2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6" thickTop="1" x14ac:dyDescent="0.2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2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2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6" thickBot="1" x14ac:dyDescent="0.2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ht="16" thickBot="1" x14ac:dyDescent="0.25">
      <c r="A12" s="123" t="s">
        <v>98</v>
      </c>
      <c r="B12" s="124"/>
      <c r="C12" s="14"/>
      <c r="D12" s="125" t="s">
        <v>118</v>
      </c>
      <c r="E12" s="125"/>
      <c r="F12" s="126"/>
      <c r="G12" s="2">
        <v>0.58333333333333337</v>
      </c>
      <c r="H12" s="3">
        <v>0.64236111111111105</v>
      </c>
      <c r="I12" s="4">
        <f>H12-G12</f>
        <v>5.9027777777777679E-2</v>
      </c>
      <c r="J12" s="123">
        <v>44952</v>
      </c>
      <c r="K12" s="124"/>
      <c r="L12" s="14"/>
      <c r="M12" s="80" t="s">
        <v>109</v>
      </c>
      <c r="N12" s="80"/>
      <c r="O12" s="122"/>
      <c r="P12" s="2">
        <v>0.5625</v>
      </c>
      <c r="Q12" s="3">
        <v>0.625</v>
      </c>
      <c r="R12" s="4">
        <f>Q12-P12</f>
        <v>6.25E-2</v>
      </c>
    </row>
    <row r="13" spans="1:23" x14ac:dyDescent="0.2">
      <c r="A13" s="120" t="s">
        <v>112</v>
      </c>
      <c r="B13" s="121"/>
      <c r="C13" s="7"/>
      <c r="D13" s="80" t="s">
        <v>113</v>
      </c>
      <c r="E13" s="80"/>
      <c r="F13" s="122"/>
      <c r="G13" s="5">
        <v>0.79166666666666663</v>
      </c>
      <c r="H13" s="6">
        <v>0.91666666666666663</v>
      </c>
      <c r="I13" s="4">
        <f>H13-G13</f>
        <v>0.125</v>
      </c>
      <c r="J13" s="123">
        <v>44956</v>
      </c>
      <c r="K13" s="124"/>
      <c r="L13" s="14"/>
      <c r="M13" s="80" t="s">
        <v>108</v>
      </c>
      <c r="N13" s="80"/>
      <c r="O13" s="122"/>
      <c r="P13" s="2">
        <v>0.53125</v>
      </c>
      <c r="Q13" s="3">
        <v>0.625</v>
      </c>
      <c r="R13" s="4">
        <f>Q13-P13</f>
        <v>9.375E-2</v>
      </c>
    </row>
    <row r="14" spans="1:23" x14ac:dyDescent="0.2">
      <c r="A14" s="120" t="s">
        <v>114</v>
      </c>
      <c r="B14" s="121"/>
      <c r="C14" s="7"/>
      <c r="D14" s="80" t="s">
        <v>115</v>
      </c>
      <c r="E14" s="80"/>
      <c r="F14" s="122"/>
      <c r="G14" s="5">
        <v>0.70833333333333337</v>
      </c>
      <c r="H14" s="6">
        <v>0.95833333333333337</v>
      </c>
      <c r="I14" s="4">
        <f t="shared" ref="I14:I49" si="0">H14-G14</f>
        <v>0.25</v>
      </c>
      <c r="J14" s="120">
        <v>44956</v>
      </c>
      <c r="K14" s="121"/>
      <c r="L14" s="17"/>
      <c r="M14" s="80" t="s">
        <v>110</v>
      </c>
      <c r="N14" s="80"/>
      <c r="O14" s="122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2">
      <c r="A15" s="120" t="s">
        <v>116</v>
      </c>
      <c r="B15" s="127"/>
      <c r="C15" s="7"/>
      <c r="D15" s="22" t="s">
        <v>117</v>
      </c>
      <c r="E15" s="22"/>
      <c r="F15" s="25"/>
      <c r="G15" s="5">
        <v>0.33333333333333331</v>
      </c>
      <c r="H15" s="6">
        <v>0.45833333333333331</v>
      </c>
      <c r="I15" s="4">
        <f t="shared" si="0"/>
        <v>0.125</v>
      </c>
      <c r="J15" s="120">
        <v>44956</v>
      </c>
      <c r="K15" s="121"/>
      <c r="L15" s="7"/>
      <c r="M15" s="80" t="s">
        <v>110</v>
      </c>
      <c r="N15" s="80"/>
      <c r="O15" s="122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2">
      <c r="A16" s="120"/>
      <c r="B16" s="121"/>
      <c r="C16" s="7"/>
      <c r="D16" s="80"/>
      <c r="E16" s="80"/>
      <c r="F16" s="122"/>
      <c r="G16" s="5"/>
      <c r="H16" s="6"/>
      <c r="I16" s="4">
        <f t="shared" si="0"/>
        <v>0</v>
      </c>
      <c r="J16" s="120">
        <v>44957</v>
      </c>
      <c r="K16" s="121"/>
      <c r="L16" s="7"/>
      <c r="M16" s="80" t="s">
        <v>111</v>
      </c>
      <c r="N16" s="80"/>
      <c r="O16" s="122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2">
      <c r="A17" s="120"/>
      <c r="B17" s="121"/>
      <c r="C17" s="7"/>
      <c r="D17" s="80"/>
      <c r="E17" s="80"/>
      <c r="F17" s="122"/>
      <c r="G17" s="5"/>
      <c r="H17" s="6"/>
      <c r="I17" s="4">
        <f t="shared" si="0"/>
        <v>0</v>
      </c>
      <c r="J17" s="120"/>
      <c r="K17" s="121"/>
      <c r="L17" s="7"/>
      <c r="M17" s="80"/>
      <c r="N17" s="80"/>
      <c r="O17" s="122"/>
      <c r="P17" s="5"/>
      <c r="Q17" s="6"/>
      <c r="R17" s="4">
        <f t="shared" si="1"/>
        <v>0</v>
      </c>
    </row>
    <row r="18" spans="1:18" x14ac:dyDescent="0.2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/>
      <c r="Q18" s="6"/>
      <c r="R18" s="4">
        <f t="shared" si="1"/>
        <v>0</v>
      </c>
    </row>
    <row r="19" spans="1:18" x14ac:dyDescent="0.2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>Q19-P19</f>
        <v>0</v>
      </c>
    </row>
    <row r="20" spans="1:18" x14ac:dyDescent="0.2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80"/>
      <c r="N20" s="80"/>
      <c r="O20" s="122"/>
      <c r="P20" s="5"/>
      <c r="Q20" s="6"/>
      <c r="R20" s="4">
        <f t="shared" si="1"/>
        <v>0</v>
      </c>
    </row>
    <row r="21" spans="1:18" x14ac:dyDescent="0.2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2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2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2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2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2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2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2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2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2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2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2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2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2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2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2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2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2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2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2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2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2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2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2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2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2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2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2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6" thickBot="1" x14ac:dyDescent="0.2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6" thickBot="1" x14ac:dyDescent="0.2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0.55902777777777768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0.32291666666666657</v>
      </c>
    </row>
    <row r="51" spans="1:18" ht="16" thickTop="1" x14ac:dyDescent="0.2"/>
  </sheetData>
  <mergeCells count="188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A5E5-B723-3F4B-B3D7-A050ABF59A5B}">
  <dimension ref="A1:W51"/>
  <sheetViews>
    <sheetView workbookViewId="0">
      <selection activeCell="C3" sqref="C3:I3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9" t="s">
        <v>126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6" thickBot="1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6" thickTop="1" x14ac:dyDescent="0.2">
      <c r="A3" s="92" t="s">
        <v>6</v>
      </c>
      <c r="B3" s="93"/>
      <c r="C3" s="94" t="s">
        <v>127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127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2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2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6" thickBot="1" x14ac:dyDescent="0.2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6" thickBot="1" x14ac:dyDescent="0.2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6" thickTop="1" x14ac:dyDescent="0.2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2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2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6" thickBot="1" x14ac:dyDescent="0.2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ht="16" thickBot="1" x14ac:dyDescent="0.25">
      <c r="A12" s="123">
        <v>44990</v>
      </c>
      <c r="B12" s="124"/>
      <c r="C12" s="14"/>
      <c r="D12" s="125" t="s">
        <v>121</v>
      </c>
      <c r="E12" s="125"/>
      <c r="F12" s="126"/>
      <c r="G12" s="2">
        <v>0.625</v>
      </c>
      <c r="H12" s="3">
        <v>0.70833333333333337</v>
      </c>
      <c r="I12" s="4">
        <f>H12-G12</f>
        <v>8.333333333333337E-2</v>
      </c>
      <c r="J12" s="123">
        <v>44990</v>
      </c>
      <c r="K12" s="124"/>
      <c r="L12" s="14"/>
      <c r="M12" s="80" t="s">
        <v>129</v>
      </c>
      <c r="N12" s="80"/>
      <c r="O12" s="122"/>
      <c r="P12" s="2">
        <v>0.64583333333333337</v>
      </c>
      <c r="Q12" s="3">
        <v>0.70833333333333337</v>
      </c>
      <c r="R12" s="4">
        <f>Q12-P12</f>
        <v>6.25E-2</v>
      </c>
    </row>
    <row r="13" spans="1:23" x14ac:dyDescent="0.2">
      <c r="A13" s="120">
        <v>44990</v>
      </c>
      <c r="B13" s="121"/>
      <c r="C13" s="7"/>
      <c r="D13" s="80" t="s">
        <v>123</v>
      </c>
      <c r="E13" s="80"/>
      <c r="F13" s="122"/>
      <c r="G13" s="5">
        <v>0.79166666666666663</v>
      </c>
      <c r="H13" s="6">
        <v>0.92708333333333337</v>
      </c>
      <c r="I13" s="4">
        <f>H13-G13</f>
        <v>0.13541666666666674</v>
      </c>
      <c r="J13" s="120">
        <v>44990</v>
      </c>
      <c r="K13" s="121"/>
      <c r="L13" s="7"/>
      <c r="M13" s="145" t="s">
        <v>122</v>
      </c>
      <c r="N13" s="145"/>
      <c r="O13" s="146"/>
      <c r="P13" s="31">
        <v>0.625</v>
      </c>
      <c r="Q13" s="32">
        <v>0.70833333333333337</v>
      </c>
      <c r="R13" s="26">
        <v>8.3333333333333329E-2</v>
      </c>
    </row>
    <row r="14" spans="1:23" x14ac:dyDescent="0.2">
      <c r="A14" s="120">
        <v>44991</v>
      </c>
      <c r="B14" s="121"/>
      <c r="C14" s="7"/>
      <c r="D14" s="80" t="s">
        <v>124</v>
      </c>
      <c r="E14" s="80"/>
      <c r="F14" s="122"/>
      <c r="G14" s="5">
        <v>0.66666666666666663</v>
      </c>
      <c r="H14" s="6">
        <v>0.79166666666666663</v>
      </c>
      <c r="I14" s="4">
        <f t="shared" ref="I14:I49" si="0">H14-G14</f>
        <v>0.125</v>
      </c>
      <c r="J14" s="143">
        <v>44990</v>
      </c>
      <c r="K14" s="144"/>
      <c r="L14" s="7"/>
      <c r="M14" s="145" t="s">
        <v>119</v>
      </c>
      <c r="N14" s="145"/>
      <c r="O14" s="146"/>
      <c r="P14" s="28">
        <v>0.70833333333333337</v>
      </c>
      <c r="Q14" s="29">
        <v>0.79166666666666663</v>
      </c>
      <c r="R14" s="30">
        <v>8.3333333333333329E-2</v>
      </c>
    </row>
    <row r="15" spans="1:23" x14ac:dyDescent="0.2">
      <c r="A15" s="120">
        <v>44991</v>
      </c>
      <c r="B15" s="121"/>
      <c r="C15" s="7"/>
      <c r="D15" s="80" t="s">
        <v>124</v>
      </c>
      <c r="E15" s="80"/>
      <c r="F15" s="122"/>
      <c r="G15" s="5">
        <v>0.8125</v>
      </c>
      <c r="H15" s="6">
        <v>0.9375</v>
      </c>
      <c r="I15" s="4">
        <f t="shared" si="0"/>
        <v>0.125</v>
      </c>
      <c r="J15" s="143">
        <v>44991</v>
      </c>
      <c r="K15" s="147"/>
      <c r="L15" s="33"/>
      <c r="M15" s="145" t="s">
        <v>119</v>
      </c>
      <c r="N15" s="145"/>
      <c r="O15" s="146"/>
      <c r="P15" s="28">
        <v>0.875</v>
      </c>
      <c r="Q15" s="29">
        <v>0.95833333333333337</v>
      </c>
      <c r="R15" s="30">
        <v>8.3333333333333329E-2</v>
      </c>
    </row>
    <row r="16" spans="1:23" x14ac:dyDescent="0.2">
      <c r="A16" s="120">
        <v>44992</v>
      </c>
      <c r="B16" s="121"/>
      <c r="C16" s="7"/>
      <c r="D16" s="80" t="s">
        <v>125</v>
      </c>
      <c r="E16" s="80"/>
      <c r="F16" s="122"/>
      <c r="G16" s="5">
        <v>0.40625</v>
      </c>
      <c r="H16" s="6">
        <v>0.53125</v>
      </c>
      <c r="I16" s="4">
        <f t="shared" si="0"/>
        <v>0.125</v>
      </c>
      <c r="J16" s="143">
        <v>44991</v>
      </c>
      <c r="K16" s="147"/>
      <c r="L16" s="27"/>
      <c r="M16" s="145" t="s">
        <v>120</v>
      </c>
      <c r="N16" s="145"/>
      <c r="O16" s="146"/>
      <c r="P16" s="28">
        <v>0.95833333333333337</v>
      </c>
      <c r="Q16" s="29">
        <v>2.0833333333333332E-2</v>
      </c>
      <c r="R16" s="30">
        <v>6.25E-2</v>
      </c>
    </row>
    <row r="17" spans="1:18" x14ac:dyDescent="0.2">
      <c r="A17" s="120"/>
      <c r="B17" s="121"/>
      <c r="C17" s="7"/>
      <c r="D17" s="80"/>
      <c r="E17" s="80"/>
      <c r="F17" s="122"/>
      <c r="G17" s="5"/>
      <c r="H17" s="6"/>
      <c r="I17" s="4">
        <f t="shared" si="0"/>
        <v>0</v>
      </c>
      <c r="J17" s="143">
        <v>44992</v>
      </c>
      <c r="K17" s="147"/>
      <c r="L17" s="33"/>
      <c r="M17" s="145" t="s">
        <v>128</v>
      </c>
      <c r="N17" s="145"/>
      <c r="O17" s="146"/>
      <c r="P17" s="28">
        <v>0.41666666666666669</v>
      </c>
      <c r="Q17" s="29">
        <v>0.5</v>
      </c>
      <c r="R17" s="30">
        <v>8.3333333333333329E-2</v>
      </c>
    </row>
    <row r="18" spans="1:18" x14ac:dyDescent="0.2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/>
      <c r="Q18" s="6"/>
      <c r="R18" s="4">
        <f t="shared" ref="R18:R40" si="1">Q18-P18</f>
        <v>0</v>
      </c>
    </row>
    <row r="19" spans="1:18" x14ac:dyDescent="0.2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>Q19-P19</f>
        <v>0</v>
      </c>
    </row>
    <row r="20" spans="1:18" x14ac:dyDescent="0.2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80"/>
      <c r="N20" s="80"/>
      <c r="O20" s="122"/>
      <c r="P20" s="5"/>
      <c r="Q20" s="6"/>
      <c r="R20" s="4">
        <f t="shared" si="1"/>
        <v>0</v>
      </c>
    </row>
    <row r="21" spans="1:18" x14ac:dyDescent="0.2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2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2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2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2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2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2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2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2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2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2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2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2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2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2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2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2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2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2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2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2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2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2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2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2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2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2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2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6" thickBot="1" x14ac:dyDescent="0.2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6" thickBot="1" x14ac:dyDescent="0.2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0.59375000000000011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0.45833333333333326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17185-2B02-4D4F-86D4-B656BC53501F}">
  <dimension ref="A1:W51"/>
  <sheetViews>
    <sheetView tabSelected="1" workbookViewId="0">
      <selection activeCell="M17" sqref="M17:O17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9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6" thickBot="1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6" thickTop="1" x14ac:dyDescent="0.2">
      <c r="A3" s="92" t="s">
        <v>6</v>
      </c>
      <c r="B3" s="93"/>
      <c r="C3" s="94" t="s">
        <v>130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130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2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2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6" thickBot="1" x14ac:dyDescent="0.2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6" thickBot="1" x14ac:dyDescent="0.2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6" thickTop="1" x14ac:dyDescent="0.2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2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2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6" thickBot="1" x14ac:dyDescent="0.2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ht="16" thickBot="1" x14ac:dyDescent="0.25">
      <c r="A12" s="123"/>
      <c r="B12" s="124"/>
      <c r="C12" s="14"/>
      <c r="D12" s="125"/>
      <c r="E12" s="125"/>
      <c r="F12" s="126"/>
      <c r="G12" s="2"/>
      <c r="H12" s="3"/>
      <c r="I12" s="4">
        <f>H12-G12</f>
        <v>0</v>
      </c>
      <c r="J12" s="123">
        <v>44997</v>
      </c>
      <c r="K12" s="124"/>
      <c r="L12" s="14"/>
      <c r="M12" s="80" t="s">
        <v>134</v>
      </c>
      <c r="N12" s="80"/>
      <c r="O12" s="122"/>
      <c r="P12" s="2">
        <v>0.66666666666666663</v>
      </c>
      <c r="Q12" s="3">
        <v>0.75</v>
      </c>
      <c r="R12" s="4">
        <f>Q12-P12</f>
        <v>8.333333333333337E-2</v>
      </c>
    </row>
    <row r="13" spans="1:23" ht="16" thickBot="1" x14ac:dyDescent="0.25">
      <c r="A13" s="120"/>
      <c r="B13" s="121"/>
      <c r="C13" s="7"/>
      <c r="D13" s="80"/>
      <c r="E13" s="80"/>
      <c r="F13" s="122"/>
      <c r="G13" s="5"/>
      <c r="H13" s="6"/>
      <c r="I13" s="4">
        <f>H13-G13</f>
        <v>0</v>
      </c>
      <c r="J13" s="149">
        <v>45000</v>
      </c>
      <c r="K13" s="150"/>
      <c r="L13" s="148"/>
      <c r="M13" s="145" t="s">
        <v>135</v>
      </c>
      <c r="N13" s="145"/>
      <c r="O13" s="146"/>
      <c r="P13" s="31">
        <v>0.375</v>
      </c>
      <c r="Q13" s="32">
        <v>0.45833333333333331</v>
      </c>
      <c r="R13" s="26">
        <v>8.3333333333333329E-2</v>
      </c>
    </row>
    <row r="14" spans="1:23" x14ac:dyDescent="0.2">
      <c r="A14" s="120"/>
      <c r="B14" s="121"/>
      <c r="C14" s="7"/>
      <c r="D14" s="80"/>
      <c r="E14" s="80"/>
      <c r="F14" s="122"/>
      <c r="G14" s="5"/>
      <c r="H14" s="6"/>
      <c r="I14" s="4">
        <f t="shared" ref="I14:I49" si="0">H14-G14</f>
        <v>0</v>
      </c>
      <c r="J14" s="149">
        <v>45003</v>
      </c>
      <c r="K14" s="152"/>
      <c r="L14" s="151"/>
      <c r="M14" s="145" t="s">
        <v>133</v>
      </c>
      <c r="N14" s="145"/>
      <c r="O14" s="146"/>
      <c r="P14" s="31">
        <v>0.54166666666666663</v>
      </c>
      <c r="Q14" s="32">
        <v>0.8125</v>
      </c>
      <c r="R14" s="26">
        <v>0.27083333333333331</v>
      </c>
    </row>
    <row r="15" spans="1:23" x14ac:dyDescent="0.2">
      <c r="A15" s="120"/>
      <c r="B15" s="121"/>
      <c r="C15" s="7"/>
      <c r="D15" s="80"/>
      <c r="E15" s="80"/>
      <c r="F15" s="122"/>
      <c r="G15" s="5"/>
      <c r="H15" s="6"/>
      <c r="I15" s="4">
        <f t="shared" si="0"/>
        <v>0</v>
      </c>
      <c r="J15" s="143">
        <v>45004</v>
      </c>
      <c r="K15" s="147"/>
      <c r="L15" s="33"/>
      <c r="M15" s="145" t="s">
        <v>132</v>
      </c>
      <c r="N15" s="145"/>
      <c r="O15" s="146"/>
      <c r="P15" s="28">
        <v>0.58333333333333337</v>
      </c>
      <c r="Q15" s="29">
        <v>0.875</v>
      </c>
      <c r="R15" s="30">
        <v>0.29166666666666669</v>
      </c>
    </row>
    <row r="16" spans="1:23" x14ac:dyDescent="0.2">
      <c r="A16" s="120"/>
      <c r="B16" s="121"/>
      <c r="C16" s="7"/>
      <c r="D16" s="80"/>
      <c r="E16" s="80"/>
      <c r="F16" s="122"/>
      <c r="G16" s="5"/>
      <c r="H16" s="6"/>
      <c r="I16" s="4">
        <f t="shared" si="0"/>
        <v>0</v>
      </c>
      <c r="J16" s="143">
        <v>45005</v>
      </c>
      <c r="K16" s="147"/>
      <c r="L16" s="27"/>
      <c r="M16" s="145" t="s">
        <v>136</v>
      </c>
      <c r="N16" s="145"/>
      <c r="O16" s="146"/>
      <c r="P16" s="28">
        <v>0.45833333333333331</v>
      </c>
      <c r="Q16" s="29">
        <v>0.60416666666666663</v>
      </c>
      <c r="R16" s="30">
        <v>0.14583333333333334</v>
      </c>
    </row>
    <row r="17" spans="1:18" x14ac:dyDescent="0.2">
      <c r="A17" s="120"/>
      <c r="B17" s="121"/>
      <c r="C17" s="7"/>
      <c r="D17" s="80"/>
      <c r="E17" s="80"/>
      <c r="F17" s="122"/>
      <c r="G17" s="5"/>
      <c r="H17" s="6"/>
      <c r="I17" s="4">
        <f t="shared" si="0"/>
        <v>0</v>
      </c>
      <c r="J17" s="143">
        <v>45005</v>
      </c>
      <c r="K17" s="147"/>
      <c r="L17" s="33"/>
      <c r="M17" s="145" t="s">
        <v>131</v>
      </c>
      <c r="N17" s="145"/>
      <c r="O17" s="146"/>
      <c r="P17" s="28">
        <v>0.875</v>
      </c>
      <c r="Q17" s="29">
        <v>0</v>
      </c>
      <c r="R17" s="30">
        <v>0.125</v>
      </c>
    </row>
    <row r="18" spans="1:18" x14ac:dyDescent="0.2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/>
      <c r="Q18" s="6"/>
      <c r="R18" s="4">
        <f t="shared" ref="R14:R40" si="1">Q18-P18</f>
        <v>0</v>
      </c>
    </row>
    <row r="19" spans="1:18" x14ac:dyDescent="0.2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>Q19-P19</f>
        <v>0</v>
      </c>
    </row>
    <row r="20" spans="1:18" x14ac:dyDescent="0.2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80"/>
      <c r="N20" s="80"/>
      <c r="O20" s="122"/>
      <c r="P20" s="5"/>
      <c r="Q20" s="6"/>
      <c r="R20" s="4">
        <f t="shared" si="1"/>
        <v>0</v>
      </c>
    </row>
    <row r="21" spans="1:18" x14ac:dyDescent="0.2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2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2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2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2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2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2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2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2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2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2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2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2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2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2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2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2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2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2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2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2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2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2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2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2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2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2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2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6" thickBot="1" x14ac:dyDescent="0.2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6" thickBot="1" x14ac:dyDescent="0.2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1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  <vt:lpstr>Sprint 6</vt:lpstr>
      <vt:lpstr>Sprint 7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2023-03-20T23:07:07Z</dcterms:modified>
  <cp:category/>
  <cp:contentStatus/>
</cp:coreProperties>
</file>