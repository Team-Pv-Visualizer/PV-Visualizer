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BC392066-A483-CE48-AF70-2A6B69778A07}" xr6:coauthVersionLast="47" xr6:coauthVersionMax="47" xr10:uidLastSave="{00000000-0000-0000-0000-000000000000}"/>
  <bookViews>
    <workbookView xWindow="0" yWindow="740" windowWidth="30240" windowHeight="18900" activeTab="9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  <sheet name="Sprint 6" sheetId="14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9" i="14" l="1"/>
  <c r="I49" i="14"/>
  <c r="R48" i="14"/>
  <c r="I48" i="14"/>
  <c r="R47" i="14"/>
  <c r="I47" i="14"/>
  <c r="R46" i="14"/>
  <c r="I46" i="14"/>
  <c r="R45" i="14"/>
  <c r="I45" i="14"/>
  <c r="R44" i="14"/>
  <c r="I44" i="14"/>
  <c r="R43" i="14"/>
  <c r="I43" i="14"/>
  <c r="R42" i="14"/>
  <c r="I42" i="14"/>
  <c r="R41" i="14"/>
  <c r="I41" i="14"/>
  <c r="R40" i="14"/>
  <c r="I40" i="14"/>
  <c r="R39" i="14"/>
  <c r="I39" i="14"/>
  <c r="R38" i="14"/>
  <c r="I38" i="14"/>
  <c r="R37" i="14"/>
  <c r="I37" i="14"/>
  <c r="R36" i="14"/>
  <c r="I36" i="14"/>
  <c r="R35" i="14"/>
  <c r="I35" i="14"/>
  <c r="R34" i="14"/>
  <c r="I34" i="14"/>
  <c r="R33" i="14"/>
  <c r="I33" i="14"/>
  <c r="R32" i="14"/>
  <c r="I32" i="14"/>
  <c r="R31" i="14"/>
  <c r="I31" i="14"/>
  <c r="R30" i="14"/>
  <c r="I30" i="14"/>
  <c r="R29" i="14"/>
  <c r="I29" i="14"/>
  <c r="R28" i="14"/>
  <c r="I28" i="14"/>
  <c r="R27" i="14"/>
  <c r="I27" i="14"/>
  <c r="R26" i="14"/>
  <c r="I26" i="14"/>
  <c r="R25" i="14"/>
  <c r="I25" i="14"/>
  <c r="R24" i="14"/>
  <c r="I24" i="14"/>
  <c r="R23" i="14"/>
  <c r="I23" i="14"/>
  <c r="R22" i="14"/>
  <c r="I22" i="14"/>
  <c r="R21" i="14"/>
  <c r="I21" i="14"/>
  <c r="R20" i="14"/>
  <c r="I20" i="14"/>
  <c r="R19" i="14"/>
  <c r="I19" i="14"/>
  <c r="R18" i="14"/>
  <c r="I18" i="14"/>
  <c r="R17" i="14"/>
  <c r="I17" i="14"/>
  <c r="R16" i="14"/>
  <c r="I16" i="14"/>
  <c r="I15" i="14"/>
  <c r="I14" i="14"/>
  <c r="R13" i="14"/>
  <c r="I13" i="14"/>
  <c r="R12" i="14"/>
  <c r="I12" i="14"/>
  <c r="I50" i="14" s="1"/>
  <c r="A4" i="2"/>
  <c r="R49" i="13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A17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30" i="2"/>
  <c r="A43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R50" i="14" l="1"/>
  <c r="I50" i="13"/>
  <c r="R50" i="13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56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<sst xmlns="http://schemas.openxmlformats.org/spreadsheetml/2006/main" count="363" uniqueCount="122">
  <si>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</si>
  <si>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</si>
  <si>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</si>
  <si>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</si>
  <si>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</si>
  <si>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</si>
  <si>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</si>
  <si>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</si>
  <si>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</si>
  <si>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</si>
  <si>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</si>
  <si>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</si>
  <si>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</si>
  <si>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</si>
  <si>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</si>
  <si>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</si>
  <si>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</si>
  <si>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</si>
  <si>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</si>
  <si>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</si>
  <si>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</si>
  <si>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</si>
  <si>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</si>
  <si>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</si>
  <si>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</si>
  <si>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</si>
  <si>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</si>
  <si>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</si>
  <si>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</si>
  <si>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</si>
  <si>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</si>
  <si>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</si>
  <si>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</si>
  <si>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</si>
  <si>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</si>
  <si>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</si>
  <si>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</si>
  <si>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</si>
  <si>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</si>
  <si>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</si>
  <si>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</si>
  <si>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</si>
  <si>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</si>
  <si>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</si>
  <si>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</si>
  <si>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</si>
  <si>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</si>
  <si>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</si>
  <si>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</si>
  <si>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</si>
  <si>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</si>
  <si>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</si>
  <si>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</si>
  <si>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</si>
  <si>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</si>
  <si>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</si>
  <si>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</si>
  <si>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</si>
  <si>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</si>
  <si>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</si>
  <si>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</si>
  <si>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</si>
  <si>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</si>
  <si>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</si>
  <si>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</si>
  <si>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</si>
  <si>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</si>
  <si>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</si>
  <si>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</si>
  <si>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</si>
  <si>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</si>
  <si>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</si>
  <si>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</si>
  <si>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</si>
  <si>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</si>
  <si>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</si>
  <si>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</si>
  <si>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</si>
  <si>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</si>
  <si>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</si>
  <si>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</si>
  <si>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</si>
  <si>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</si>
  <si>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</si>
  <si>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</si>
  <si>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</si>
  <si>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</si>
  <si>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</si>
  <si>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</si>
  <si>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</si>
  <si>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</si>
  <si>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</si>
  <si>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</si>
  <si>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</si>
  <si>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</si>
  <si>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</si>
  <si>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</si>
  <si>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</si>
  <si>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</si>
  <si>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</si>
  <si>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</si>
  <si>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</si>
  <si>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</si>
  <si>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</si>
  <si>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</si>
  <si>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</si>
  <si>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</si>
  <si>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</si>
  <si>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</si>
  <si>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</si>
  <si>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</si>
  <si>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</si>
  <si>
    <t>29.01.2023</t>
  </si>
  <si>
    <t>Fronius API knacken</t>
  </si>
  <si>
    <t>30.01.2023</t>
  </si>
  <si>
    <t>Livedaten bekommen mit Postman arbeiten</t>
  </si>
  <si>
    <t>31.01.2023</t>
  </si>
  <si>
    <t>Grafana Diagramme ändern</t>
  </si>
  <si>
    <t>Fronius Netzwerk-Cookies anschauen</t>
  </si>
  <si>
    <t>New functions in Quarkus Backend (callupmethod(), saveSettings() function)</t>
  </si>
  <si>
    <t>changes to UI of website</t>
  </si>
  <si>
    <t>Reasearch php connection to MySQL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</si>
</sst>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49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0" fillId="0" borderId="24" xfId="0" applyBorder="1"/>
    <xf numFmtId="164" fontId="0" fillId="0" borderId="0" xfId="0" applyNumberFormat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0" fillId="0" borderId="51" xfId="0" applyNumberFormat="1" applyBorder="1" applyAlignment="1">
      <alignment horizontal="center"/>
    </xf>
    <xf numFmtId="14" fontId="9" fillId="0" borderId="33" xfId="0" applyNumberFormat="1" applyFont="1" applyBorder="1" applyAlignment="1">
      <alignment horizontal="center"/>
    </xf>
    <xf numFmtId="14" fontId="9" fillId="0" borderId="24" xfId="0" applyNumberFormat="1" applyFont="1" applyBorder="1" applyAlignment="1">
      <alignment horizontal="center"/>
    </xf>
    <xf numFmtId="0" fontId="9" fillId="0" borderId="22" xfId="0" applyFont="1" applyBorder="1"/>
    <xf numFmtId="20" fontId="9" fillId="0" borderId="23" xfId="0" applyNumberFormat="1" applyFont="1" applyBorder="1"/>
    <xf numFmtId="20" fontId="9" fillId="0" borderId="54" xfId="0" applyNumberFormat="1" applyFont="1" applyBorder="1"/>
    <xf numFmtId="20" fontId="4" fillId="3" borderId="53" xfId="0" applyNumberFormat="1" applyFont="1" applyFill="1" applyBorder="1" applyAlignment="1">
      <alignment horizontal="center"/>
    </xf>
    <xf numFmtId="0" fontId="10" fillId="0" borderId="1" xfId="0" applyFont="1" applyBorder="1"/>
    <xf numFmtId="20" fontId="9" fillId="0" borderId="1" xfId="0" applyNumberFormat="1" applyFont="1" applyBorder="1"/>
    <xf numFmtId="20" fontId="9" fillId="0" borderId="70" xfId="0" applyNumberFormat="1" applyFont="1" applyBorder="1"/>
    <xf numFmtId="20" fontId="4" fillId="3" borderId="73" xfId="0" applyNumberFormat="1" applyFont="1" applyFill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9" fillId="0" borderId="72" xfId="0" applyFont="1" applyBorder="1" applyAlignment="1">
      <alignment horizontal="left"/>
    </xf>
    <xf numFmtId="14" fontId="9" fillId="0" borderId="72" xfId="0" applyNumberFormat="1" applyFont="1" applyBorder="1" applyAlignment="1">
      <alignment horizontal="center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09F8B34-4B86-E145-9540-2546C3E8668B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83203125" defaultRowHeight="15" x14ac:dyDescent="0.2"/>
  <sheetData>
    <row r="1" spans="1:9" x14ac:dyDescent="0.2">
      <c r="A1" s="30"/>
      <c r="B1" s="31"/>
      <c r="C1" s="31"/>
      <c r="D1" s="31"/>
      <c r="E1" s="31"/>
      <c r="F1" s="31"/>
      <c r="G1" s="31"/>
      <c r="H1" s="31"/>
      <c r="I1" s="32"/>
    </row>
    <row r="2" spans="1:9" ht="16" thickBot="1" x14ac:dyDescent="0.25">
      <c r="A2" s="33"/>
      <c r="B2" s="34"/>
      <c r="C2" s="34"/>
      <c r="D2" s="34"/>
      <c r="E2" s="34"/>
      <c r="F2" s="34"/>
      <c r="G2" s="34"/>
      <c r="H2" s="34"/>
      <c r="I2" s="35"/>
    </row>
    <row r="3" spans="1:9" ht="16" thickBot="1" x14ac:dyDescent="0.25">
      <c r="A3" s="36" t="s">
        <v>45</v>
      </c>
      <c r="B3" s="37"/>
      <c r="C3" s="37"/>
      <c r="D3" s="37"/>
      <c r="E3" s="37"/>
      <c r="F3" s="37"/>
      <c r="G3" s="37"/>
      <c r="H3" s="37"/>
      <c r="I3" s="38"/>
    </row>
    <row r="4" spans="1:9" ht="17" thickTop="1" thickBot="1" x14ac:dyDescent="0.25">
      <c r="A4" s="39">
        <f>D9+D12</f>
        <v>1.566666666666666</v>
      </c>
      <c r="B4" s="40"/>
      <c r="C4" s="40"/>
      <c r="D4" s="40"/>
      <c r="E4" s="40"/>
      <c r="F4" s="40"/>
      <c r="G4" s="40"/>
      <c r="H4" s="40"/>
      <c r="I4" s="41"/>
    </row>
    <row r="5" spans="1:9" ht="16" thickBot="1" x14ac:dyDescent="0.25">
      <c r="A5" s="42"/>
      <c r="B5" s="43"/>
      <c r="C5" s="43"/>
      <c r="D5" s="43"/>
      <c r="E5" s="43"/>
      <c r="F5" s="43"/>
      <c r="G5" s="43"/>
      <c r="H5" s="43"/>
      <c r="I5" s="44"/>
    </row>
    <row r="6" spans="1:9" ht="16" thickBot="1" x14ac:dyDescent="0.25">
      <c r="A6" s="36" t="s">
        <v>1</v>
      </c>
      <c r="B6" s="37"/>
      <c r="C6" s="37"/>
      <c r="D6" s="37"/>
      <c r="E6" s="37"/>
      <c r="F6" s="37"/>
      <c r="G6" s="37"/>
      <c r="H6" s="37"/>
      <c r="I6" s="38"/>
    </row>
    <row r="7" spans="1:9" ht="16" thickTop="1" x14ac:dyDescent="0.2">
      <c r="A7" s="27"/>
      <c r="B7" s="28"/>
      <c r="C7" s="29"/>
      <c r="D7" s="27"/>
      <c r="E7" s="28"/>
      <c r="F7" s="28"/>
      <c r="G7" s="28"/>
      <c r="H7" s="28"/>
      <c r="I7" s="29"/>
    </row>
    <row r="8" spans="1:9" x14ac:dyDescent="0.2">
      <c r="A8" s="45" t="s">
        <v>2</v>
      </c>
      <c r="B8" s="46"/>
      <c r="C8" s="47"/>
      <c r="D8" s="48" t="s">
        <v>3</v>
      </c>
      <c r="E8" s="49"/>
      <c r="F8" s="49"/>
      <c r="G8" s="49"/>
      <c r="H8" s="49"/>
      <c r="I8" s="50"/>
    </row>
    <row r="9" spans="1:9" x14ac:dyDescent="0.2">
      <c r="A9" s="51" t="s">
        <v>4</v>
      </c>
      <c r="B9" s="52"/>
      <c r="C9" s="53"/>
      <c r="D9" s="54">
        <f>'Sprint 1'!I50</f>
        <v>0.87777777777777743</v>
      </c>
      <c r="E9" s="55"/>
      <c r="F9" s="55"/>
      <c r="G9" s="55"/>
      <c r="H9" s="55"/>
      <c r="I9" s="56"/>
    </row>
    <row r="10" spans="1:9" ht="16" thickBot="1" x14ac:dyDescent="0.25">
      <c r="A10" s="57"/>
      <c r="B10" s="58"/>
      <c r="C10" s="59"/>
      <c r="D10" s="57"/>
      <c r="E10" s="58"/>
      <c r="F10" s="58"/>
      <c r="G10" s="58"/>
      <c r="H10" s="58"/>
      <c r="I10" s="59"/>
    </row>
    <row r="11" spans="1:9" x14ac:dyDescent="0.2">
      <c r="A11" s="60" t="s">
        <v>2</v>
      </c>
      <c r="B11" s="61"/>
      <c r="C11" s="62"/>
      <c r="D11" s="63" t="s">
        <v>5</v>
      </c>
      <c r="E11" s="64"/>
      <c r="F11" s="64"/>
      <c r="G11" s="64"/>
      <c r="H11" s="64"/>
      <c r="I11" s="65"/>
    </row>
    <row r="12" spans="1:9" ht="16" thickBot="1" x14ac:dyDescent="0.25">
      <c r="A12" s="66" t="s">
        <v>4</v>
      </c>
      <c r="B12" s="67"/>
      <c r="C12" s="68"/>
      <c r="D12" s="69">
        <f>'Sprint 1'!R50</f>
        <v>0.68888888888888866</v>
      </c>
      <c r="E12" s="70"/>
      <c r="F12" s="70"/>
      <c r="G12" s="70"/>
      <c r="H12" s="70"/>
      <c r="I12" s="71"/>
    </row>
    <row r="13" spans="1:9" x14ac:dyDescent="0.2">
      <c r="A13" s="72"/>
      <c r="B13" s="72"/>
      <c r="C13" s="72"/>
      <c r="D13" s="72"/>
      <c r="E13" s="72"/>
      <c r="F13" s="72"/>
      <c r="G13" s="72"/>
      <c r="H13" s="72"/>
      <c r="I13" s="72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2" t="s">
        <v>46</v>
      </c>
      <c r="T1" s="83"/>
      <c r="U1" s="83"/>
      <c r="V1" s="83"/>
      <c r="W1" s="83"/>
    </row>
    <row r="2" spans="1:23" ht="16" thickBot="1" x14ac:dyDescent="0.2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3"/>
      <c r="T2" s="83"/>
      <c r="U2" s="83"/>
      <c r="V2" s="83"/>
      <c r="W2" s="83"/>
    </row>
    <row r="3" spans="1:23" ht="16" thickTop="1" x14ac:dyDescent="0.2">
      <c r="A3" s="85" t="s">
        <v>6</v>
      </c>
      <c r="B3" s="86"/>
      <c r="C3" s="87"/>
      <c r="D3" s="88"/>
      <c r="E3" s="88"/>
      <c r="F3" s="88"/>
      <c r="G3" s="88"/>
      <c r="H3" s="88"/>
      <c r="I3" s="89"/>
      <c r="J3" s="85" t="s">
        <v>6</v>
      </c>
      <c r="K3" s="86"/>
      <c r="L3" s="87"/>
      <c r="M3" s="88"/>
      <c r="N3" s="88"/>
      <c r="O3" s="88"/>
      <c r="P3" s="88"/>
      <c r="Q3" s="88"/>
      <c r="R3" s="89"/>
      <c r="S3" s="90"/>
      <c r="T3" s="83"/>
      <c r="U3" s="83"/>
      <c r="V3" s="83"/>
      <c r="W3" s="83"/>
    </row>
    <row r="4" spans="1:23" x14ac:dyDescent="0.2">
      <c r="A4" s="91" t="s">
        <v>7</v>
      </c>
      <c r="B4" s="92"/>
      <c r="C4" s="73" t="s">
        <v>44</v>
      </c>
      <c r="D4" s="73"/>
      <c r="E4" s="73"/>
      <c r="F4" s="73"/>
      <c r="G4" s="73"/>
      <c r="H4" s="73"/>
      <c r="I4" s="74"/>
      <c r="J4" s="91" t="s">
        <v>7</v>
      </c>
      <c r="K4" s="92"/>
      <c r="L4" s="73" t="s">
        <v>44</v>
      </c>
      <c r="M4" s="73"/>
      <c r="N4" s="73"/>
      <c r="O4" s="73"/>
      <c r="P4" s="73"/>
      <c r="Q4" s="73"/>
      <c r="R4" s="74"/>
      <c r="S4" s="90"/>
      <c r="T4" s="83"/>
      <c r="U4" s="83"/>
      <c r="V4" s="83"/>
      <c r="W4" s="83"/>
    </row>
    <row r="5" spans="1:23" x14ac:dyDescent="0.2">
      <c r="A5" s="75" t="s">
        <v>2</v>
      </c>
      <c r="B5" s="76"/>
      <c r="C5" s="77" t="s">
        <v>3</v>
      </c>
      <c r="D5" s="77"/>
      <c r="E5" s="77"/>
      <c r="F5" s="77"/>
      <c r="G5" s="77"/>
      <c r="H5" s="77"/>
      <c r="I5" s="78"/>
      <c r="J5" s="75" t="s">
        <v>2</v>
      </c>
      <c r="K5" s="76"/>
      <c r="L5" s="77" t="s">
        <v>5</v>
      </c>
      <c r="M5" s="77"/>
      <c r="N5" s="77"/>
      <c r="O5" s="77"/>
      <c r="P5" s="77"/>
      <c r="Q5" s="77"/>
      <c r="R5" s="78"/>
      <c r="S5" s="90"/>
      <c r="T5" s="83"/>
      <c r="U5" s="83"/>
      <c r="V5" s="83"/>
      <c r="W5" s="83"/>
    </row>
    <row r="6" spans="1:23" ht="16" thickBot="1" x14ac:dyDescent="0.25">
      <c r="A6" s="79"/>
      <c r="B6" s="80"/>
      <c r="C6" s="80"/>
      <c r="D6" s="80"/>
      <c r="E6" s="80"/>
      <c r="F6" s="80"/>
      <c r="G6" s="80"/>
      <c r="H6" s="80"/>
      <c r="I6" s="81"/>
      <c r="J6" s="79"/>
      <c r="K6" s="80"/>
      <c r="L6" s="80"/>
      <c r="M6" s="80"/>
      <c r="N6" s="80"/>
      <c r="O6" s="80"/>
      <c r="P6" s="80"/>
      <c r="Q6" s="80"/>
      <c r="R6" s="81"/>
      <c r="S6" s="90"/>
      <c r="T6" s="83"/>
      <c r="U6" s="83"/>
      <c r="V6" s="83"/>
      <c r="W6" s="83"/>
    </row>
    <row r="7" spans="1:23" ht="16" thickBot="1" x14ac:dyDescent="0.25">
      <c r="A7" s="104" t="s">
        <v>8</v>
      </c>
      <c r="B7" s="105"/>
      <c r="C7" s="110" t="s">
        <v>43</v>
      </c>
      <c r="D7" s="93" t="s">
        <v>9</v>
      </c>
      <c r="E7" s="93"/>
      <c r="F7" s="94"/>
      <c r="G7" s="36" t="s">
        <v>10</v>
      </c>
      <c r="H7" s="37"/>
      <c r="I7" s="99"/>
      <c r="J7" s="104" t="s">
        <v>8</v>
      </c>
      <c r="K7" s="105"/>
      <c r="L7" s="110" t="s">
        <v>43</v>
      </c>
      <c r="M7" s="93" t="s">
        <v>9</v>
      </c>
      <c r="N7" s="93"/>
      <c r="O7" s="94"/>
      <c r="P7" s="36" t="s">
        <v>10</v>
      </c>
      <c r="Q7" s="37"/>
      <c r="R7" s="99"/>
      <c r="S7" s="90"/>
      <c r="T7" s="83"/>
      <c r="U7" s="83"/>
      <c r="V7" s="83"/>
      <c r="W7" s="83"/>
    </row>
    <row r="8" spans="1:23" ht="16" thickTop="1" x14ac:dyDescent="0.2">
      <c r="A8" s="106"/>
      <c r="B8" s="107"/>
      <c r="C8" s="111"/>
      <c r="D8" s="95"/>
      <c r="E8" s="95"/>
      <c r="F8" s="96"/>
      <c r="G8" s="100" t="s">
        <v>11</v>
      </c>
      <c r="H8" s="100" t="s">
        <v>12</v>
      </c>
      <c r="I8" s="102" t="s">
        <v>13</v>
      </c>
      <c r="J8" s="106"/>
      <c r="K8" s="107"/>
      <c r="L8" s="111"/>
      <c r="M8" s="95"/>
      <c r="N8" s="95"/>
      <c r="O8" s="96"/>
      <c r="P8" s="100" t="s">
        <v>11</v>
      </c>
      <c r="Q8" s="100" t="s">
        <v>12</v>
      </c>
      <c r="R8" s="102" t="s">
        <v>13</v>
      </c>
      <c r="S8" s="90"/>
      <c r="T8" s="83"/>
      <c r="U8" s="83"/>
      <c r="V8" s="83"/>
      <c r="W8" s="83"/>
    </row>
    <row r="9" spans="1:23" x14ac:dyDescent="0.2">
      <c r="A9" s="106"/>
      <c r="B9" s="107"/>
      <c r="C9" s="111"/>
      <c r="D9" s="95"/>
      <c r="E9" s="95"/>
      <c r="F9" s="96"/>
      <c r="G9" s="100"/>
      <c r="H9" s="100"/>
      <c r="I9" s="102"/>
      <c r="J9" s="106"/>
      <c r="K9" s="107"/>
      <c r="L9" s="111"/>
      <c r="M9" s="95"/>
      <c r="N9" s="95"/>
      <c r="O9" s="96"/>
      <c r="P9" s="100"/>
      <c r="Q9" s="100"/>
      <c r="R9" s="102"/>
      <c r="S9" s="90"/>
      <c r="T9" s="83"/>
      <c r="U9" s="83"/>
      <c r="V9" s="83"/>
      <c r="W9" s="83"/>
    </row>
    <row r="10" spans="1:23" x14ac:dyDescent="0.2">
      <c r="A10" s="106"/>
      <c r="B10" s="107"/>
      <c r="C10" s="111"/>
      <c r="D10" s="95"/>
      <c r="E10" s="95"/>
      <c r="F10" s="96"/>
      <c r="G10" s="100"/>
      <c r="H10" s="100"/>
      <c r="I10" s="102"/>
      <c r="J10" s="106"/>
      <c r="K10" s="107"/>
      <c r="L10" s="111"/>
      <c r="M10" s="95"/>
      <c r="N10" s="95"/>
      <c r="O10" s="96"/>
      <c r="P10" s="100"/>
      <c r="Q10" s="100"/>
      <c r="R10" s="102"/>
      <c r="S10" s="90"/>
      <c r="T10" s="83"/>
      <c r="U10" s="83"/>
      <c r="V10" s="83"/>
      <c r="W10" s="83"/>
    </row>
    <row r="11" spans="1:23" ht="16" thickBot="1" x14ac:dyDescent="0.25">
      <c r="A11" s="108"/>
      <c r="B11" s="109"/>
      <c r="C11" s="112"/>
      <c r="D11" s="97"/>
      <c r="E11" s="97"/>
      <c r="F11" s="98"/>
      <c r="G11" s="101"/>
      <c r="H11" s="101"/>
      <c r="I11" s="103"/>
      <c r="J11" s="108"/>
      <c r="K11" s="109"/>
      <c r="L11" s="112"/>
      <c r="M11" s="97"/>
      <c r="N11" s="97"/>
      <c r="O11" s="98"/>
      <c r="P11" s="101"/>
      <c r="Q11" s="101"/>
      <c r="R11" s="103"/>
      <c r="S11" s="90"/>
      <c r="T11" s="83"/>
      <c r="U11" s="83"/>
      <c r="V11" s="83"/>
      <c r="W11" s="83"/>
    </row>
    <row r="12" spans="1:23" x14ac:dyDescent="0.2">
      <c r="A12" s="116"/>
      <c r="B12" s="117"/>
      <c r="C12" s="14"/>
      <c r="D12" s="118"/>
      <c r="E12" s="118"/>
      <c r="F12" s="119"/>
      <c r="G12" s="2"/>
      <c r="H12" s="3"/>
      <c r="I12" s="4">
        <f>H12-G12</f>
        <v>0</v>
      </c>
      <c r="J12" s="116"/>
      <c r="K12" s="117"/>
      <c r="L12" s="14"/>
      <c r="M12" s="73"/>
      <c r="N12" s="73"/>
      <c r="O12" s="115"/>
      <c r="P12" s="2"/>
      <c r="Q12" s="3"/>
      <c r="R12" s="4">
        <f>Q12-P12</f>
        <v>0</v>
      </c>
    </row>
    <row r="13" spans="1:23" x14ac:dyDescent="0.2">
      <c r="A13" s="113"/>
      <c r="B13" s="114"/>
      <c r="C13" s="7"/>
      <c r="D13" s="73"/>
      <c r="E13" s="73"/>
      <c r="F13" s="115"/>
      <c r="G13" s="5"/>
      <c r="H13" s="6"/>
      <c r="I13" s="4">
        <f>H13-G13</f>
        <v>0</v>
      </c>
      <c r="J13" s="113"/>
      <c r="K13" s="114"/>
      <c r="L13" s="7"/>
      <c r="M13" s="73"/>
      <c r="N13" s="73"/>
      <c r="O13" s="115"/>
      <c r="P13" s="5"/>
      <c r="Q13" s="6"/>
      <c r="R13" s="4">
        <f>Q13-P13</f>
        <v>0</v>
      </c>
    </row>
    <row r="14" spans="1:23" x14ac:dyDescent="0.2">
      <c r="A14" s="113"/>
      <c r="B14" s="114"/>
      <c r="C14" s="7"/>
      <c r="D14" s="73"/>
      <c r="E14" s="73"/>
      <c r="F14" s="115"/>
      <c r="G14" s="5"/>
      <c r="H14" s="6"/>
      <c r="I14" s="4">
        <f t="shared" ref="I14:I49" si="0">H14-G14</f>
        <v>0</v>
      </c>
      <c r="J14" s="113"/>
      <c r="K14" s="114"/>
      <c r="L14" s="17"/>
      <c r="M14" s="73"/>
      <c r="N14" s="73"/>
      <c r="O14" s="115"/>
      <c r="P14" s="5"/>
      <c r="Q14" s="6"/>
      <c r="R14" s="4">
        <f t="shared" ref="R14:R40" si="1">Q14-P14</f>
        <v>0</v>
      </c>
    </row>
    <row r="15" spans="1:23" x14ac:dyDescent="0.2">
      <c r="A15" s="113"/>
      <c r="B15" s="114"/>
      <c r="C15" s="7"/>
      <c r="D15" s="73"/>
      <c r="E15" s="73"/>
      <c r="F15" s="115"/>
      <c r="G15" s="5"/>
      <c r="H15" s="6"/>
      <c r="I15" s="4">
        <f t="shared" si="0"/>
        <v>0</v>
      </c>
      <c r="J15" s="113"/>
      <c r="K15" s="114"/>
      <c r="L15" s="7"/>
      <c r="M15" s="73"/>
      <c r="N15" s="73"/>
      <c r="O15" s="115"/>
      <c r="P15" s="5"/>
      <c r="Q15" s="6"/>
      <c r="R15" s="4">
        <f t="shared" si="1"/>
        <v>0</v>
      </c>
    </row>
    <row r="16" spans="1:23" x14ac:dyDescent="0.2">
      <c r="A16" s="113"/>
      <c r="B16" s="114"/>
      <c r="C16" s="7"/>
      <c r="D16" s="73"/>
      <c r="E16" s="73"/>
      <c r="F16" s="115"/>
      <c r="G16" s="5"/>
      <c r="H16" s="6"/>
      <c r="I16" s="4">
        <f t="shared" si="0"/>
        <v>0</v>
      </c>
      <c r="J16" s="113"/>
      <c r="K16" s="120"/>
      <c r="L16" s="7"/>
      <c r="M16" s="73"/>
      <c r="N16" s="73"/>
      <c r="O16" s="115"/>
      <c r="P16" s="5"/>
      <c r="Q16" s="6"/>
      <c r="R16" s="4">
        <f>Q16-P16</f>
        <v>0</v>
      </c>
    </row>
    <row r="17" spans="1:18" x14ac:dyDescent="0.2">
      <c r="A17" s="113"/>
      <c r="B17" s="114"/>
      <c r="C17" s="7"/>
      <c r="D17" s="73"/>
      <c r="E17" s="73"/>
      <c r="F17" s="115"/>
      <c r="G17" s="5"/>
      <c r="H17" s="6"/>
      <c r="I17" s="4">
        <f t="shared" si="0"/>
        <v>0</v>
      </c>
      <c r="J17" s="113"/>
      <c r="K17" s="114"/>
      <c r="L17" s="7"/>
      <c r="M17" s="73"/>
      <c r="N17" s="73"/>
      <c r="O17" s="115"/>
      <c r="P17" s="5"/>
      <c r="Q17" s="6"/>
      <c r="R17" s="4">
        <f t="shared" si="1"/>
        <v>0</v>
      </c>
    </row>
    <row r="18" spans="1:18" x14ac:dyDescent="0.2">
      <c r="A18" s="113"/>
      <c r="B18" s="114"/>
      <c r="C18" s="7"/>
      <c r="D18" s="73"/>
      <c r="E18" s="73"/>
      <c r="F18" s="115"/>
      <c r="G18" s="5"/>
      <c r="H18" s="6"/>
      <c r="I18" s="4">
        <f t="shared" si="0"/>
        <v>0</v>
      </c>
      <c r="J18" s="113"/>
      <c r="K18" s="114"/>
      <c r="L18" s="7"/>
      <c r="M18" s="73"/>
      <c r="N18" s="73"/>
      <c r="O18" s="115"/>
      <c r="P18" s="5"/>
      <c r="Q18" s="6"/>
      <c r="R18" s="4">
        <f t="shared" si="1"/>
        <v>0</v>
      </c>
    </row>
    <row r="19" spans="1:18" x14ac:dyDescent="0.2">
      <c r="A19" s="113"/>
      <c r="B19" s="114"/>
      <c r="C19" s="7"/>
      <c r="D19" s="73"/>
      <c r="E19" s="73"/>
      <c r="F19" s="115"/>
      <c r="G19" s="5"/>
      <c r="H19" s="6"/>
      <c r="I19" s="4">
        <f t="shared" si="0"/>
        <v>0</v>
      </c>
      <c r="J19" s="113"/>
      <c r="K19" s="114"/>
      <c r="L19" s="7"/>
      <c r="M19" s="73"/>
      <c r="N19" s="73"/>
      <c r="O19" s="115"/>
      <c r="P19" s="5"/>
      <c r="Q19" s="6"/>
      <c r="R19" s="4">
        <f>Q19-P19</f>
        <v>0</v>
      </c>
    </row>
    <row r="20" spans="1:18" x14ac:dyDescent="0.2">
      <c r="A20" s="113"/>
      <c r="B20" s="114"/>
      <c r="C20" s="7"/>
      <c r="D20" s="73"/>
      <c r="E20" s="73"/>
      <c r="F20" s="115"/>
      <c r="G20" s="5"/>
      <c r="H20" s="6"/>
      <c r="I20" s="4">
        <f t="shared" si="0"/>
        <v>0</v>
      </c>
      <c r="J20" s="113"/>
      <c r="K20" s="114"/>
      <c r="L20" s="7"/>
      <c r="M20" s="73"/>
      <c r="N20" s="73"/>
      <c r="O20" s="115"/>
      <c r="P20" s="5"/>
      <c r="Q20" s="6"/>
      <c r="R20" s="4">
        <f t="shared" si="1"/>
        <v>0</v>
      </c>
    </row>
    <row r="21" spans="1:18" x14ac:dyDescent="0.2">
      <c r="A21" s="113"/>
      <c r="B21" s="114"/>
      <c r="C21" s="7"/>
      <c r="D21" s="73"/>
      <c r="E21" s="73"/>
      <c r="F21" s="115"/>
      <c r="G21" s="5"/>
      <c r="H21" s="6"/>
      <c r="I21" s="4">
        <f t="shared" si="0"/>
        <v>0</v>
      </c>
      <c r="J21" s="113"/>
      <c r="K21" s="114"/>
      <c r="L21" s="7"/>
      <c r="M21" s="114"/>
      <c r="N21" s="114"/>
      <c r="O21" s="121"/>
      <c r="P21" s="5"/>
      <c r="Q21" s="6"/>
      <c r="R21" s="4">
        <f t="shared" si="1"/>
        <v>0</v>
      </c>
    </row>
    <row r="22" spans="1:18" x14ac:dyDescent="0.2">
      <c r="A22" s="113"/>
      <c r="B22" s="114"/>
      <c r="C22" s="7"/>
      <c r="D22" s="114"/>
      <c r="E22" s="114"/>
      <c r="F22" s="121"/>
      <c r="G22" s="5"/>
      <c r="H22" s="6"/>
      <c r="I22" s="4">
        <f t="shared" si="0"/>
        <v>0</v>
      </c>
      <c r="J22" s="113"/>
      <c r="K22" s="114"/>
      <c r="L22" s="7"/>
      <c r="M22" s="114"/>
      <c r="N22" s="114"/>
      <c r="O22" s="121"/>
      <c r="P22" s="5"/>
      <c r="Q22" s="6"/>
      <c r="R22" s="4">
        <f t="shared" si="1"/>
        <v>0</v>
      </c>
    </row>
    <row r="23" spans="1:18" x14ac:dyDescent="0.2">
      <c r="A23" s="113"/>
      <c r="B23" s="114"/>
      <c r="C23" s="7"/>
      <c r="D23" s="114"/>
      <c r="E23" s="114"/>
      <c r="F23" s="121"/>
      <c r="G23" s="5"/>
      <c r="H23" s="6"/>
      <c r="I23" s="4">
        <f t="shared" si="0"/>
        <v>0</v>
      </c>
      <c r="J23" s="113"/>
      <c r="K23" s="114"/>
      <c r="L23" s="7"/>
      <c r="M23" s="114"/>
      <c r="N23" s="114"/>
      <c r="O23" s="121"/>
      <c r="P23" s="5"/>
      <c r="Q23" s="6"/>
      <c r="R23" s="4">
        <f t="shared" si="1"/>
        <v>0</v>
      </c>
    </row>
    <row r="24" spans="1:18" x14ac:dyDescent="0.2">
      <c r="A24" s="113"/>
      <c r="B24" s="114"/>
      <c r="C24" s="7"/>
      <c r="D24" s="114"/>
      <c r="E24" s="114"/>
      <c r="F24" s="121"/>
      <c r="G24" s="5"/>
      <c r="H24" s="6"/>
      <c r="I24" s="4">
        <f t="shared" si="0"/>
        <v>0</v>
      </c>
      <c r="J24" s="113"/>
      <c r="K24" s="114"/>
      <c r="L24" s="7"/>
      <c r="M24" s="114"/>
      <c r="N24" s="114"/>
      <c r="O24" s="121"/>
      <c r="P24" s="5"/>
      <c r="Q24" s="6"/>
      <c r="R24" s="4">
        <f t="shared" si="1"/>
        <v>0</v>
      </c>
    </row>
    <row r="25" spans="1:18" x14ac:dyDescent="0.2">
      <c r="A25" s="113"/>
      <c r="B25" s="114"/>
      <c r="C25" s="7"/>
      <c r="D25" s="114"/>
      <c r="E25" s="114"/>
      <c r="F25" s="121"/>
      <c r="G25" s="5"/>
      <c r="H25" s="6"/>
      <c r="I25" s="4">
        <f t="shared" si="0"/>
        <v>0</v>
      </c>
      <c r="J25" s="113"/>
      <c r="K25" s="114"/>
      <c r="L25" s="7"/>
      <c r="M25" s="114"/>
      <c r="N25" s="114"/>
      <c r="O25" s="121"/>
      <c r="P25" s="5"/>
      <c r="Q25" s="6"/>
      <c r="R25" s="4">
        <f t="shared" si="1"/>
        <v>0</v>
      </c>
    </row>
    <row r="26" spans="1:18" x14ac:dyDescent="0.2">
      <c r="A26" s="122"/>
      <c r="B26" s="114"/>
      <c r="C26" s="7"/>
      <c r="D26" s="114"/>
      <c r="E26" s="114"/>
      <c r="F26" s="121"/>
      <c r="G26" s="7"/>
      <c r="H26" s="8"/>
      <c r="I26" s="4">
        <f t="shared" si="0"/>
        <v>0</v>
      </c>
      <c r="J26" s="113"/>
      <c r="K26" s="114"/>
      <c r="L26" s="7"/>
      <c r="M26" s="114"/>
      <c r="N26" s="114"/>
      <c r="O26" s="121"/>
      <c r="P26" s="5"/>
      <c r="Q26" s="6"/>
      <c r="R26" s="4">
        <f t="shared" si="1"/>
        <v>0</v>
      </c>
    </row>
    <row r="27" spans="1:18" x14ac:dyDescent="0.2">
      <c r="A27" s="122"/>
      <c r="B27" s="114"/>
      <c r="C27" s="7"/>
      <c r="D27" s="114"/>
      <c r="E27" s="114"/>
      <c r="F27" s="121"/>
      <c r="G27" s="7"/>
      <c r="H27" s="8"/>
      <c r="I27" s="4">
        <f t="shared" si="0"/>
        <v>0</v>
      </c>
      <c r="J27" s="122"/>
      <c r="K27" s="114"/>
      <c r="L27" s="7"/>
      <c r="M27" s="114"/>
      <c r="N27" s="114"/>
      <c r="O27" s="121"/>
      <c r="P27" s="7"/>
      <c r="Q27" s="8"/>
      <c r="R27" s="4">
        <f t="shared" si="1"/>
        <v>0</v>
      </c>
    </row>
    <row r="28" spans="1:18" x14ac:dyDescent="0.2">
      <c r="A28" s="122"/>
      <c r="B28" s="114"/>
      <c r="C28" s="7"/>
      <c r="D28" s="114"/>
      <c r="E28" s="114"/>
      <c r="F28" s="121"/>
      <c r="G28" s="7"/>
      <c r="H28" s="8"/>
      <c r="I28" s="4">
        <f t="shared" si="0"/>
        <v>0</v>
      </c>
      <c r="J28" s="122"/>
      <c r="K28" s="114"/>
      <c r="L28" s="7"/>
      <c r="M28" s="114"/>
      <c r="N28" s="114"/>
      <c r="O28" s="121"/>
      <c r="P28" s="7"/>
      <c r="Q28" s="8"/>
      <c r="R28" s="4">
        <f t="shared" si="1"/>
        <v>0</v>
      </c>
    </row>
    <row r="29" spans="1:18" x14ac:dyDescent="0.2">
      <c r="A29" s="122"/>
      <c r="B29" s="114"/>
      <c r="C29" s="7"/>
      <c r="D29" s="114"/>
      <c r="E29" s="114"/>
      <c r="F29" s="121"/>
      <c r="G29" s="7"/>
      <c r="H29" s="8"/>
      <c r="I29" s="4">
        <f t="shared" si="0"/>
        <v>0</v>
      </c>
      <c r="J29" s="122"/>
      <c r="K29" s="114"/>
      <c r="L29" s="7"/>
      <c r="M29" s="114"/>
      <c r="N29" s="114"/>
      <c r="O29" s="121"/>
      <c r="P29" s="7"/>
      <c r="Q29" s="8"/>
      <c r="R29" s="4">
        <f t="shared" si="1"/>
        <v>0</v>
      </c>
    </row>
    <row r="30" spans="1:18" x14ac:dyDescent="0.2">
      <c r="A30" s="122"/>
      <c r="B30" s="114"/>
      <c r="C30" s="7"/>
      <c r="D30" s="114"/>
      <c r="E30" s="114"/>
      <c r="F30" s="121"/>
      <c r="G30" s="7"/>
      <c r="H30" s="8"/>
      <c r="I30" s="4">
        <f t="shared" si="0"/>
        <v>0</v>
      </c>
      <c r="J30" s="122"/>
      <c r="K30" s="114"/>
      <c r="L30" s="7"/>
      <c r="M30" s="114"/>
      <c r="N30" s="114"/>
      <c r="O30" s="121"/>
      <c r="P30" s="7"/>
      <c r="Q30" s="8"/>
      <c r="R30" s="4">
        <f t="shared" si="1"/>
        <v>0</v>
      </c>
    </row>
    <row r="31" spans="1:18" x14ac:dyDescent="0.2">
      <c r="A31" s="122"/>
      <c r="B31" s="114"/>
      <c r="C31" s="7"/>
      <c r="D31" s="114"/>
      <c r="E31" s="114"/>
      <c r="F31" s="121"/>
      <c r="G31" s="7"/>
      <c r="H31" s="8"/>
      <c r="I31" s="4">
        <f t="shared" si="0"/>
        <v>0</v>
      </c>
      <c r="J31" s="122"/>
      <c r="K31" s="114"/>
      <c r="L31" s="7"/>
      <c r="M31" s="114"/>
      <c r="N31" s="114"/>
      <c r="O31" s="121"/>
      <c r="P31" s="7"/>
      <c r="Q31" s="8"/>
      <c r="R31" s="4">
        <f t="shared" si="1"/>
        <v>0</v>
      </c>
    </row>
    <row r="32" spans="1:18" x14ac:dyDescent="0.2">
      <c r="A32" s="122"/>
      <c r="B32" s="114"/>
      <c r="C32" s="7"/>
      <c r="D32" s="114"/>
      <c r="E32" s="114"/>
      <c r="F32" s="121"/>
      <c r="G32" s="7"/>
      <c r="H32" s="8"/>
      <c r="I32" s="4">
        <f t="shared" si="0"/>
        <v>0</v>
      </c>
      <c r="J32" s="122"/>
      <c r="K32" s="114"/>
      <c r="L32" s="7"/>
      <c r="M32" s="114"/>
      <c r="N32" s="114"/>
      <c r="O32" s="121"/>
      <c r="P32" s="7"/>
      <c r="Q32" s="8"/>
      <c r="R32" s="4">
        <f t="shared" si="1"/>
        <v>0</v>
      </c>
    </row>
    <row r="33" spans="1:18" x14ac:dyDescent="0.2">
      <c r="A33" s="122"/>
      <c r="B33" s="114"/>
      <c r="C33" s="7"/>
      <c r="D33" s="114"/>
      <c r="E33" s="114"/>
      <c r="F33" s="121"/>
      <c r="G33" s="7"/>
      <c r="H33" s="8"/>
      <c r="I33" s="4">
        <f t="shared" si="0"/>
        <v>0</v>
      </c>
      <c r="J33" s="122"/>
      <c r="K33" s="114"/>
      <c r="L33" s="7"/>
      <c r="M33" s="114"/>
      <c r="N33" s="114"/>
      <c r="O33" s="121"/>
      <c r="P33" s="7"/>
      <c r="Q33" s="8"/>
      <c r="R33" s="4">
        <f t="shared" si="1"/>
        <v>0</v>
      </c>
    </row>
    <row r="34" spans="1:18" x14ac:dyDescent="0.2">
      <c r="A34" s="122"/>
      <c r="B34" s="114"/>
      <c r="C34" s="7"/>
      <c r="D34" s="114"/>
      <c r="E34" s="114"/>
      <c r="F34" s="121"/>
      <c r="G34" s="7"/>
      <c r="H34" s="8"/>
      <c r="I34" s="4">
        <f t="shared" si="0"/>
        <v>0</v>
      </c>
      <c r="J34" s="122"/>
      <c r="K34" s="114"/>
      <c r="L34" s="7"/>
      <c r="M34" s="114"/>
      <c r="N34" s="114"/>
      <c r="O34" s="121"/>
      <c r="P34" s="7"/>
      <c r="Q34" s="8"/>
      <c r="R34" s="4">
        <f t="shared" si="1"/>
        <v>0</v>
      </c>
    </row>
    <row r="35" spans="1:18" x14ac:dyDescent="0.2">
      <c r="A35" s="122"/>
      <c r="B35" s="114"/>
      <c r="C35" s="7"/>
      <c r="D35" s="114"/>
      <c r="E35" s="114"/>
      <c r="F35" s="121"/>
      <c r="G35" s="7"/>
      <c r="H35" s="8"/>
      <c r="I35" s="4">
        <f t="shared" si="0"/>
        <v>0</v>
      </c>
      <c r="J35" s="122"/>
      <c r="K35" s="114"/>
      <c r="L35" s="7"/>
      <c r="M35" s="114"/>
      <c r="N35" s="114"/>
      <c r="O35" s="121"/>
      <c r="P35" s="7"/>
      <c r="Q35" s="8"/>
      <c r="R35" s="4">
        <f t="shared" si="1"/>
        <v>0</v>
      </c>
    </row>
    <row r="36" spans="1:18" x14ac:dyDescent="0.2">
      <c r="A36" s="122"/>
      <c r="B36" s="114"/>
      <c r="C36" s="7"/>
      <c r="D36" s="114"/>
      <c r="E36" s="114"/>
      <c r="F36" s="121"/>
      <c r="G36" s="7"/>
      <c r="H36" s="8"/>
      <c r="I36" s="4">
        <f t="shared" si="0"/>
        <v>0</v>
      </c>
      <c r="J36" s="122"/>
      <c r="K36" s="114"/>
      <c r="L36" s="7"/>
      <c r="M36" s="114"/>
      <c r="N36" s="114"/>
      <c r="O36" s="121"/>
      <c r="P36" s="7"/>
      <c r="Q36" s="8"/>
      <c r="R36" s="4">
        <f t="shared" si="1"/>
        <v>0</v>
      </c>
    </row>
    <row r="37" spans="1:18" x14ac:dyDescent="0.2">
      <c r="A37" s="122"/>
      <c r="B37" s="114"/>
      <c r="C37" s="7"/>
      <c r="D37" s="114"/>
      <c r="E37" s="114"/>
      <c r="F37" s="121"/>
      <c r="G37" s="7"/>
      <c r="H37" s="8"/>
      <c r="I37" s="4">
        <f t="shared" si="0"/>
        <v>0</v>
      </c>
      <c r="J37" s="122"/>
      <c r="K37" s="114"/>
      <c r="L37" s="7"/>
      <c r="M37" s="114"/>
      <c r="N37" s="114"/>
      <c r="O37" s="121"/>
      <c r="P37" s="7"/>
      <c r="Q37" s="8"/>
      <c r="R37" s="4">
        <f t="shared" si="1"/>
        <v>0</v>
      </c>
    </row>
    <row r="38" spans="1:18" x14ac:dyDescent="0.2">
      <c r="A38" s="122"/>
      <c r="B38" s="114"/>
      <c r="C38" s="7"/>
      <c r="D38" s="114"/>
      <c r="E38" s="114"/>
      <c r="F38" s="121"/>
      <c r="G38" s="7"/>
      <c r="H38" s="8"/>
      <c r="I38" s="4">
        <f t="shared" si="0"/>
        <v>0</v>
      </c>
      <c r="J38" s="122"/>
      <c r="K38" s="114"/>
      <c r="L38" s="7"/>
      <c r="M38" s="114"/>
      <c r="N38" s="114"/>
      <c r="O38" s="121"/>
      <c r="P38" s="7"/>
      <c r="Q38" s="8"/>
      <c r="R38" s="4">
        <f t="shared" si="1"/>
        <v>0</v>
      </c>
    </row>
    <row r="39" spans="1:18" x14ac:dyDescent="0.2">
      <c r="A39" s="122"/>
      <c r="B39" s="114"/>
      <c r="C39" s="7"/>
      <c r="D39" s="114"/>
      <c r="E39" s="114"/>
      <c r="F39" s="121"/>
      <c r="G39" s="7"/>
      <c r="H39" s="8"/>
      <c r="I39" s="4">
        <f t="shared" si="0"/>
        <v>0</v>
      </c>
      <c r="J39" s="122"/>
      <c r="K39" s="114"/>
      <c r="L39" s="7"/>
      <c r="M39" s="114"/>
      <c r="N39" s="114"/>
      <c r="O39" s="121"/>
      <c r="P39" s="7"/>
      <c r="Q39" s="8"/>
      <c r="R39" s="4">
        <f t="shared" si="1"/>
        <v>0</v>
      </c>
    </row>
    <row r="40" spans="1:18" x14ac:dyDescent="0.2">
      <c r="A40" s="123"/>
      <c r="B40" s="124"/>
      <c r="C40" s="7"/>
      <c r="D40" s="114"/>
      <c r="E40" s="114"/>
      <c r="F40" s="121"/>
      <c r="G40" s="9"/>
      <c r="H40" s="1"/>
      <c r="I40" s="4">
        <f>H40-G40</f>
        <v>0</v>
      </c>
      <c r="J40" s="122"/>
      <c r="K40" s="114"/>
      <c r="L40" s="7"/>
      <c r="M40" s="114"/>
      <c r="N40" s="114"/>
      <c r="O40" s="121"/>
      <c r="P40" s="7"/>
      <c r="Q40" s="8"/>
      <c r="R40" s="4">
        <f t="shared" si="1"/>
        <v>0</v>
      </c>
    </row>
    <row r="41" spans="1:18" x14ac:dyDescent="0.2">
      <c r="A41" s="122"/>
      <c r="B41" s="114"/>
      <c r="C41" s="7"/>
      <c r="D41" s="114"/>
      <c r="E41" s="114"/>
      <c r="F41" s="121"/>
      <c r="G41" s="7"/>
      <c r="H41" s="8"/>
      <c r="I41" s="4">
        <f t="shared" si="0"/>
        <v>0</v>
      </c>
      <c r="J41" s="123"/>
      <c r="K41" s="124"/>
      <c r="L41" s="7"/>
      <c r="M41" s="114"/>
      <c r="N41" s="114"/>
      <c r="O41" s="121"/>
      <c r="P41" s="9"/>
      <c r="Q41" s="1"/>
      <c r="R41" s="4">
        <f>Q41-P41</f>
        <v>0</v>
      </c>
    </row>
    <row r="42" spans="1:18" x14ac:dyDescent="0.2">
      <c r="A42" s="122"/>
      <c r="B42" s="114"/>
      <c r="C42" s="7"/>
      <c r="D42" s="114"/>
      <c r="E42" s="114"/>
      <c r="F42" s="121"/>
      <c r="G42" s="7"/>
      <c r="H42" s="8"/>
      <c r="I42" s="4">
        <f t="shared" si="0"/>
        <v>0</v>
      </c>
      <c r="J42" s="122"/>
      <c r="K42" s="114"/>
      <c r="L42" s="7"/>
      <c r="M42" s="114"/>
      <c r="N42" s="114"/>
      <c r="O42" s="121"/>
      <c r="P42" s="7"/>
      <c r="Q42" s="8"/>
      <c r="R42" s="4">
        <f t="shared" ref="R42:R49" si="2">Q42-P42</f>
        <v>0</v>
      </c>
    </row>
    <row r="43" spans="1:18" x14ac:dyDescent="0.2">
      <c r="A43" s="122"/>
      <c r="B43" s="114"/>
      <c r="C43" s="7"/>
      <c r="D43" s="114"/>
      <c r="E43" s="114"/>
      <c r="F43" s="121"/>
      <c r="G43" s="7"/>
      <c r="H43" s="8"/>
      <c r="I43" s="4">
        <f t="shared" si="0"/>
        <v>0</v>
      </c>
      <c r="J43" s="122"/>
      <c r="K43" s="114"/>
      <c r="L43" s="7"/>
      <c r="M43" s="114"/>
      <c r="N43" s="114"/>
      <c r="O43" s="121"/>
      <c r="P43" s="7"/>
      <c r="Q43" s="8"/>
      <c r="R43" s="4">
        <f t="shared" si="2"/>
        <v>0</v>
      </c>
    </row>
    <row r="44" spans="1:18" x14ac:dyDescent="0.2">
      <c r="A44" s="122"/>
      <c r="B44" s="114"/>
      <c r="C44" s="7"/>
      <c r="D44" s="114"/>
      <c r="E44" s="114"/>
      <c r="F44" s="121"/>
      <c r="G44" s="7"/>
      <c r="H44" s="8"/>
      <c r="I44" s="4">
        <f t="shared" si="0"/>
        <v>0</v>
      </c>
      <c r="J44" s="122"/>
      <c r="K44" s="114"/>
      <c r="L44" s="7"/>
      <c r="M44" s="114"/>
      <c r="N44" s="114"/>
      <c r="O44" s="121"/>
      <c r="P44" s="7"/>
      <c r="Q44" s="8"/>
      <c r="R44" s="4">
        <f t="shared" si="2"/>
        <v>0</v>
      </c>
    </row>
    <row r="45" spans="1:18" x14ac:dyDescent="0.2">
      <c r="A45" s="122"/>
      <c r="B45" s="114"/>
      <c r="C45" s="7"/>
      <c r="D45" s="114"/>
      <c r="E45" s="114"/>
      <c r="F45" s="121"/>
      <c r="G45" s="7"/>
      <c r="H45" s="8"/>
      <c r="I45" s="4">
        <f t="shared" si="0"/>
        <v>0</v>
      </c>
      <c r="J45" s="122"/>
      <c r="K45" s="114"/>
      <c r="L45" s="7"/>
      <c r="M45" s="114"/>
      <c r="N45" s="114"/>
      <c r="O45" s="121"/>
      <c r="P45" s="7"/>
      <c r="Q45" s="8"/>
      <c r="R45" s="4">
        <f t="shared" si="2"/>
        <v>0</v>
      </c>
    </row>
    <row r="46" spans="1:18" x14ac:dyDescent="0.2">
      <c r="A46" s="122"/>
      <c r="B46" s="114"/>
      <c r="C46" s="7"/>
      <c r="D46" s="114"/>
      <c r="E46" s="114"/>
      <c r="F46" s="121"/>
      <c r="G46" s="7"/>
      <c r="H46" s="8"/>
      <c r="I46" s="4">
        <f t="shared" si="0"/>
        <v>0</v>
      </c>
      <c r="J46" s="122"/>
      <c r="K46" s="114"/>
      <c r="L46" s="7"/>
      <c r="M46" s="114"/>
      <c r="N46" s="114"/>
      <c r="O46" s="121"/>
      <c r="P46" s="7"/>
      <c r="Q46" s="8"/>
      <c r="R46" s="4">
        <f t="shared" si="2"/>
        <v>0</v>
      </c>
    </row>
    <row r="47" spans="1:18" x14ac:dyDescent="0.2">
      <c r="A47" s="122"/>
      <c r="B47" s="114"/>
      <c r="C47" s="7"/>
      <c r="D47" s="114"/>
      <c r="E47" s="114"/>
      <c r="F47" s="121"/>
      <c r="G47" s="7"/>
      <c r="H47" s="8"/>
      <c r="I47" s="4">
        <f t="shared" si="0"/>
        <v>0</v>
      </c>
      <c r="J47" s="122"/>
      <c r="K47" s="114"/>
      <c r="L47" s="7"/>
      <c r="M47" s="114"/>
      <c r="N47" s="114"/>
      <c r="O47" s="121"/>
      <c r="P47" s="7"/>
      <c r="Q47" s="8"/>
      <c r="R47" s="4">
        <f t="shared" si="2"/>
        <v>0</v>
      </c>
    </row>
    <row r="48" spans="1:18" x14ac:dyDescent="0.2">
      <c r="A48" s="122"/>
      <c r="B48" s="114"/>
      <c r="C48" s="7"/>
      <c r="D48" s="114"/>
      <c r="E48" s="114"/>
      <c r="F48" s="121"/>
      <c r="G48" s="7"/>
      <c r="H48" s="8"/>
      <c r="I48" s="4">
        <f t="shared" si="0"/>
        <v>0</v>
      </c>
      <c r="J48" s="122"/>
      <c r="K48" s="114"/>
      <c r="L48" s="7"/>
      <c r="M48" s="114"/>
      <c r="N48" s="114"/>
      <c r="O48" s="121"/>
      <c r="P48" s="7"/>
      <c r="Q48" s="8"/>
      <c r="R48" s="4">
        <f t="shared" si="2"/>
        <v>0</v>
      </c>
    </row>
    <row r="49" spans="1:18" ht="16" thickBot="1" x14ac:dyDescent="0.25">
      <c r="A49" s="79"/>
      <c r="B49" s="80"/>
      <c r="C49" s="10"/>
      <c r="D49" s="114"/>
      <c r="E49" s="114"/>
      <c r="F49" s="121"/>
      <c r="G49" s="10"/>
      <c r="H49" s="11"/>
      <c r="I49" s="12">
        <f t="shared" si="0"/>
        <v>0</v>
      </c>
      <c r="J49" s="122"/>
      <c r="K49" s="114"/>
      <c r="L49" s="10"/>
      <c r="M49" s="114"/>
      <c r="N49" s="114"/>
      <c r="O49" s="121"/>
      <c r="P49" s="7"/>
      <c r="Q49" s="8"/>
      <c r="R49" s="4">
        <f t="shared" si="2"/>
        <v>0</v>
      </c>
    </row>
    <row r="50" spans="1:18" ht="16" thickBot="1" x14ac:dyDescent="0.25">
      <c r="A50" s="125"/>
      <c r="B50" s="126"/>
      <c r="C50" s="16"/>
      <c r="D50" s="127"/>
      <c r="E50" s="127"/>
      <c r="F50" s="126"/>
      <c r="G50" s="128" t="s">
        <v>38</v>
      </c>
      <c r="H50" s="126"/>
      <c r="I50" s="13">
        <f>SUM(I12:I49)</f>
        <v>0</v>
      </c>
      <c r="J50" s="125"/>
      <c r="K50" s="126"/>
      <c r="L50" s="16"/>
      <c r="M50" s="127"/>
      <c r="N50" s="127"/>
      <c r="O50" s="126"/>
      <c r="P50" s="128" t="s">
        <v>38</v>
      </c>
      <c r="Q50" s="126"/>
      <c r="R50" s="13">
        <f>SUM(R12:R49)</f>
        <v>0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M275"/>
  <sheetViews>
    <sheetView zoomScale="82" zoomScaleNormal="130" workbookViewId="0">
      <selection activeCell="P20" sqref="P20"/>
    </sheetView>
  </sheetViews>
  <sheetFormatPr baseColWidth="10" defaultColWidth="8.83203125" defaultRowHeight="15" x14ac:dyDescent="0.2"/>
  <sheetData>
    <row r="1" spans="1:13" ht="14.5" customHeight="1" x14ac:dyDescent="0.2">
      <c r="A1" s="30" t="s">
        <v>107</v>
      </c>
      <c r="B1" s="31"/>
      <c r="C1" s="31"/>
      <c r="D1" s="31"/>
      <c r="E1" s="31"/>
      <c r="F1" s="31"/>
      <c r="G1" s="31"/>
      <c r="H1" s="31"/>
      <c r="I1" s="32"/>
    </row>
    <row r="2" spans="1:13" ht="15" customHeight="1" thickBot="1" x14ac:dyDescent="0.25">
      <c r="A2" s="33"/>
      <c r="B2" s="34"/>
      <c r="C2" s="34"/>
      <c r="D2" s="34"/>
      <c r="E2" s="34"/>
      <c r="F2" s="34"/>
      <c r="G2" s="34"/>
      <c r="H2" s="34"/>
      <c r="I2" s="35"/>
      <c r="M2" s="26"/>
    </row>
    <row r="3" spans="1:13" ht="16" thickBot="1" x14ac:dyDescent="0.25">
      <c r="A3" s="36" t="s">
        <v>45</v>
      </c>
      <c r="B3" s="37"/>
      <c r="C3" s="37"/>
      <c r="D3" s="37"/>
      <c r="E3" s="37"/>
      <c r="F3" s="37"/>
      <c r="G3" s="37"/>
      <c r="H3" s="37"/>
      <c r="I3" s="38"/>
    </row>
    <row r="4" spans="1:13" ht="17" thickTop="1" thickBot="1" x14ac:dyDescent="0.25">
      <c r="A4" s="39">
        <f>D9+D12</f>
        <v>0.8819444444444442</v>
      </c>
      <c r="B4" s="40"/>
      <c r="C4" s="40"/>
      <c r="D4" s="40"/>
      <c r="E4" s="40"/>
      <c r="F4" s="40"/>
      <c r="G4" s="40"/>
      <c r="H4" s="40"/>
      <c r="I4" s="41"/>
    </row>
    <row r="5" spans="1:13" ht="16" thickBot="1" x14ac:dyDescent="0.25">
      <c r="A5" s="42"/>
      <c r="B5" s="43"/>
      <c r="C5" s="43"/>
      <c r="D5" s="43"/>
      <c r="E5" s="43"/>
      <c r="F5" s="43"/>
      <c r="G5" s="43"/>
      <c r="H5" s="43"/>
      <c r="I5" s="44"/>
    </row>
    <row r="6" spans="1:13" ht="16" thickBot="1" x14ac:dyDescent="0.25">
      <c r="A6" s="36" t="s">
        <v>1</v>
      </c>
      <c r="B6" s="37"/>
      <c r="C6" s="37"/>
      <c r="D6" s="37"/>
      <c r="E6" s="37"/>
      <c r="F6" s="37"/>
      <c r="G6" s="37"/>
      <c r="H6" s="37"/>
      <c r="I6" s="38"/>
    </row>
    <row r="7" spans="1:13" ht="16" thickTop="1" x14ac:dyDescent="0.2">
      <c r="A7" s="27"/>
      <c r="B7" s="28"/>
      <c r="C7" s="29"/>
      <c r="D7" s="27"/>
      <c r="E7" s="28"/>
      <c r="F7" s="28"/>
      <c r="G7" s="28"/>
      <c r="H7" s="28"/>
      <c r="I7" s="29"/>
    </row>
    <row r="8" spans="1:13" x14ac:dyDescent="0.2">
      <c r="A8" s="45" t="s">
        <v>2</v>
      </c>
      <c r="B8" s="46"/>
      <c r="C8" s="47"/>
      <c r="D8" s="48" t="s">
        <v>3</v>
      </c>
      <c r="E8" s="49"/>
      <c r="F8" s="49"/>
      <c r="G8" s="49"/>
      <c r="H8" s="49"/>
      <c r="I8" s="50"/>
    </row>
    <row r="9" spans="1:13" x14ac:dyDescent="0.2">
      <c r="A9" s="51" t="s">
        <v>4</v>
      </c>
      <c r="B9" s="52"/>
      <c r="C9" s="53"/>
      <c r="D9" s="54">
        <v>0.55902777777777768</v>
      </c>
      <c r="E9" s="55"/>
      <c r="F9" s="55"/>
      <c r="G9" s="55"/>
      <c r="H9" s="55"/>
      <c r="I9" s="56"/>
    </row>
    <row r="10" spans="1:13" ht="16" thickBot="1" x14ac:dyDescent="0.25">
      <c r="A10" s="57"/>
      <c r="B10" s="58"/>
      <c r="C10" s="59"/>
      <c r="D10" s="57"/>
      <c r="E10" s="58"/>
      <c r="F10" s="58"/>
      <c r="G10" s="58"/>
      <c r="H10" s="58"/>
      <c r="I10" s="59"/>
    </row>
    <row r="11" spans="1:13" x14ac:dyDescent="0.2">
      <c r="A11" s="60" t="s">
        <v>2</v>
      </c>
      <c r="B11" s="61"/>
      <c r="C11" s="62"/>
      <c r="D11" s="63" t="s">
        <v>5</v>
      </c>
      <c r="E11" s="64"/>
      <c r="F11" s="64"/>
      <c r="G11" s="64"/>
      <c r="H11" s="64"/>
      <c r="I11" s="65"/>
    </row>
    <row r="12" spans="1:13" ht="16" thickBot="1" x14ac:dyDescent="0.25">
      <c r="A12" s="66" t="s">
        <v>4</v>
      </c>
      <c r="B12" s="67"/>
      <c r="C12" s="68"/>
      <c r="D12" s="69">
        <v>0.32291666666666657</v>
      </c>
      <c r="E12" s="70"/>
      <c r="F12" s="70"/>
      <c r="G12" s="70"/>
      <c r="H12" s="70"/>
      <c r="I12" s="71"/>
    </row>
    <row r="13" spans="1:13" ht="16" thickBot="1" x14ac:dyDescent="0.25">
      <c r="A13" s="72"/>
      <c r="B13" s="72"/>
      <c r="C13" s="72"/>
      <c r="D13" s="72"/>
      <c r="E13" s="72"/>
      <c r="F13" s="72"/>
      <c r="G13" s="72"/>
      <c r="H13" s="72"/>
      <c r="I13" s="72"/>
    </row>
    <row r="14" spans="1:13" ht="14.5" customHeight="1" x14ac:dyDescent="0.2">
      <c r="A14" s="30" t="s">
        <v>86</v>
      </c>
      <c r="B14" s="31"/>
      <c r="C14" s="31"/>
      <c r="D14" s="31"/>
      <c r="E14" s="31"/>
      <c r="F14" s="31"/>
      <c r="G14" s="31"/>
      <c r="H14" s="31"/>
      <c r="I14" s="32"/>
    </row>
    <row r="15" spans="1:13" ht="15" customHeight="1" thickBot="1" x14ac:dyDescent="0.25">
      <c r="A15" s="33"/>
      <c r="B15" s="34"/>
      <c r="C15" s="34"/>
      <c r="D15" s="34"/>
      <c r="E15" s="34"/>
      <c r="F15" s="34"/>
      <c r="G15" s="34"/>
      <c r="H15" s="34"/>
      <c r="I15" s="35"/>
    </row>
    <row r="16" spans="1:13" ht="16" thickBot="1" x14ac:dyDescent="0.25">
      <c r="A16" s="36" t="s">
        <v>45</v>
      </c>
      <c r="B16" s="37"/>
      <c r="C16" s="37"/>
      <c r="D16" s="37"/>
      <c r="E16" s="37"/>
      <c r="F16" s="37"/>
      <c r="G16" s="37"/>
      <c r="H16" s="37"/>
      <c r="I16" s="38"/>
    </row>
    <row r="17" spans="1:9" ht="17" thickTop="1" thickBot="1" x14ac:dyDescent="0.25">
      <c r="A17" s="39">
        <f>D22+D25</f>
        <v>1.2444444444444445</v>
      </c>
      <c r="B17" s="40"/>
      <c r="C17" s="40"/>
      <c r="D17" s="40"/>
      <c r="E17" s="40"/>
      <c r="F17" s="40"/>
      <c r="G17" s="40"/>
      <c r="H17" s="40"/>
      <c r="I17" s="41"/>
    </row>
    <row r="18" spans="1:9" ht="16" thickBot="1" x14ac:dyDescent="0.25">
      <c r="A18" s="42"/>
      <c r="B18" s="43"/>
      <c r="C18" s="43"/>
      <c r="D18" s="43"/>
      <c r="E18" s="43"/>
      <c r="F18" s="43"/>
      <c r="G18" s="43"/>
      <c r="H18" s="43"/>
      <c r="I18" s="44"/>
    </row>
    <row r="19" spans="1:9" ht="16" thickBot="1" x14ac:dyDescent="0.25">
      <c r="A19" s="36" t="s">
        <v>1</v>
      </c>
      <c r="B19" s="37"/>
      <c r="C19" s="37"/>
      <c r="D19" s="37"/>
      <c r="E19" s="37"/>
      <c r="F19" s="37"/>
      <c r="G19" s="37"/>
      <c r="H19" s="37"/>
      <c r="I19" s="38"/>
    </row>
    <row r="20" spans="1:9" ht="16" thickTop="1" x14ac:dyDescent="0.2">
      <c r="A20" s="27"/>
      <c r="B20" s="28"/>
      <c r="C20" s="29"/>
      <c r="D20" s="27"/>
      <c r="E20" s="28"/>
      <c r="F20" s="28"/>
      <c r="G20" s="28"/>
      <c r="H20" s="28"/>
      <c r="I20" s="29"/>
    </row>
    <row r="21" spans="1:9" x14ac:dyDescent="0.2">
      <c r="A21" s="45" t="s">
        <v>2</v>
      </c>
      <c r="B21" s="46"/>
      <c r="C21" s="47"/>
      <c r="D21" s="48" t="s">
        <v>3</v>
      </c>
      <c r="E21" s="49"/>
      <c r="F21" s="49"/>
      <c r="G21" s="49"/>
      <c r="H21" s="49"/>
      <c r="I21" s="50"/>
    </row>
    <row r="22" spans="1:9" x14ac:dyDescent="0.2">
      <c r="A22" s="51" t="s">
        <v>4</v>
      </c>
      <c r="B22" s="52"/>
      <c r="C22" s="53"/>
      <c r="D22" s="54">
        <v>0.64027777777777783</v>
      </c>
      <c r="E22" s="55"/>
      <c r="F22" s="55"/>
      <c r="G22" s="55"/>
      <c r="H22" s="55"/>
      <c r="I22" s="56"/>
    </row>
    <row r="23" spans="1:9" ht="16" thickBot="1" x14ac:dyDescent="0.25">
      <c r="A23" s="57"/>
      <c r="B23" s="58"/>
      <c r="C23" s="59"/>
      <c r="D23" s="57"/>
      <c r="E23" s="58"/>
      <c r="F23" s="58"/>
      <c r="G23" s="58"/>
      <c r="H23" s="58"/>
      <c r="I23" s="59"/>
    </row>
    <row r="24" spans="1:9" x14ac:dyDescent="0.2">
      <c r="A24" s="60" t="s">
        <v>2</v>
      </c>
      <c r="B24" s="61"/>
      <c r="C24" s="62"/>
      <c r="D24" s="63" t="s">
        <v>5</v>
      </c>
      <c r="E24" s="64"/>
      <c r="F24" s="64"/>
      <c r="G24" s="64"/>
      <c r="H24" s="64"/>
      <c r="I24" s="65"/>
    </row>
    <row r="25" spans="1:9" ht="16" thickBot="1" x14ac:dyDescent="0.25">
      <c r="A25" s="66" t="s">
        <v>4</v>
      </c>
      <c r="B25" s="67"/>
      <c r="C25" s="68"/>
      <c r="D25" s="69">
        <v>0.60416666666666674</v>
      </c>
      <c r="E25" s="70"/>
      <c r="F25" s="70"/>
      <c r="G25" s="70"/>
      <c r="H25" s="70"/>
      <c r="I25" s="71"/>
    </row>
    <row r="26" spans="1:9" ht="16" thickBot="1" x14ac:dyDescent="0.25">
      <c r="A26" s="72"/>
      <c r="B26" s="72"/>
      <c r="C26" s="72"/>
      <c r="D26" s="72"/>
      <c r="E26" s="72"/>
      <c r="F26" s="72"/>
      <c r="G26" s="72"/>
      <c r="H26" s="72"/>
      <c r="I26" s="72"/>
    </row>
    <row r="27" spans="1:9" ht="14.5" customHeight="1" x14ac:dyDescent="0.2">
      <c r="A27" s="30" t="s">
        <v>71</v>
      </c>
      <c r="B27" s="31"/>
      <c r="C27" s="31"/>
      <c r="D27" s="31"/>
      <c r="E27" s="31"/>
      <c r="F27" s="31"/>
      <c r="G27" s="31"/>
      <c r="H27" s="31"/>
      <c r="I27" s="32"/>
    </row>
    <row r="28" spans="1:9" ht="15" customHeight="1" thickBot="1" x14ac:dyDescent="0.25">
      <c r="A28" s="33"/>
      <c r="B28" s="34"/>
      <c r="C28" s="34"/>
      <c r="D28" s="34"/>
      <c r="E28" s="34"/>
      <c r="F28" s="34"/>
      <c r="G28" s="34"/>
      <c r="H28" s="34"/>
      <c r="I28" s="35"/>
    </row>
    <row r="29" spans="1:9" ht="16" thickBot="1" x14ac:dyDescent="0.25">
      <c r="A29" s="36" t="s">
        <v>45</v>
      </c>
      <c r="B29" s="37"/>
      <c r="C29" s="37"/>
      <c r="D29" s="37"/>
      <c r="E29" s="37"/>
      <c r="F29" s="37"/>
      <c r="G29" s="37"/>
      <c r="H29" s="37"/>
      <c r="I29" s="38"/>
    </row>
    <row r="30" spans="1:9" ht="17" thickTop="1" thickBot="1" x14ac:dyDescent="0.25">
      <c r="A30" s="39">
        <f>D35+D38</f>
        <v>0.97916666666666652</v>
      </c>
      <c r="B30" s="40"/>
      <c r="C30" s="40"/>
      <c r="D30" s="40"/>
      <c r="E30" s="40"/>
      <c r="F30" s="40"/>
      <c r="G30" s="40"/>
      <c r="H30" s="40"/>
      <c r="I30" s="41"/>
    </row>
    <row r="31" spans="1:9" ht="16" thickBot="1" x14ac:dyDescent="0.25">
      <c r="A31" s="42"/>
      <c r="B31" s="43"/>
      <c r="C31" s="43"/>
      <c r="D31" s="43"/>
      <c r="E31" s="43"/>
      <c r="F31" s="43"/>
      <c r="G31" s="43"/>
      <c r="H31" s="43"/>
      <c r="I31" s="44"/>
    </row>
    <row r="32" spans="1:9" ht="16" thickBot="1" x14ac:dyDescent="0.25">
      <c r="A32" s="36" t="s">
        <v>1</v>
      </c>
      <c r="B32" s="37"/>
      <c r="C32" s="37"/>
      <c r="D32" s="37"/>
      <c r="E32" s="37"/>
      <c r="F32" s="37"/>
      <c r="G32" s="37"/>
      <c r="H32" s="37"/>
      <c r="I32" s="38"/>
    </row>
    <row r="33" spans="1:9" ht="16" thickTop="1" x14ac:dyDescent="0.2">
      <c r="A33" s="27"/>
      <c r="B33" s="28"/>
      <c r="C33" s="29"/>
      <c r="D33" s="27"/>
      <c r="E33" s="28"/>
      <c r="F33" s="28"/>
      <c r="G33" s="28"/>
      <c r="H33" s="28"/>
      <c r="I33" s="29"/>
    </row>
    <row r="34" spans="1:9" x14ac:dyDescent="0.2">
      <c r="A34" s="45" t="s">
        <v>2</v>
      </c>
      <c r="B34" s="46"/>
      <c r="C34" s="47"/>
      <c r="D34" s="48" t="s">
        <v>3</v>
      </c>
      <c r="E34" s="49"/>
      <c r="F34" s="49"/>
      <c r="G34" s="49"/>
      <c r="H34" s="49"/>
      <c r="I34" s="50"/>
    </row>
    <row r="35" spans="1:9" x14ac:dyDescent="0.2">
      <c r="A35" s="51" t="s">
        <v>4</v>
      </c>
      <c r="B35" s="52"/>
      <c r="C35" s="53"/>
      <c r="D35" s="54">
        <v>0.51388888888888884</v>
      </c>
      <c r="E35" s="55"/>
      <c r="F35" s="55"/>
      <c r="G35" s="55"/>
      <c r="H35" s="55"/>
      <c r="I35" s="56"/>
    </row>
    <row r="36" spans="1:9" ht="16" thickBot="1" x14ac:dyDescent="0.25">
      <c r="A36" s="57"/>
      <c r="B36" s="58"/>
      <c r="C36" s="59"/>
      <c r="D36" s="57"/>
      <c r="E36" s="58"/>
      <c r="F36" s="58"/>
      <c r="G36" s="58"/>
      <c r="H36" s="58"/>
      <c r="I36" s="59"/>
    </row>
    <row r="37" spans="1:9" x14ac:dyDescent="0.2">
      <c r="A37" s="60" t="s">
        <v>2</v>
      </c>
      <c r="B37" s="61"/>
      <c r="C37" s="62"/>
      <c r="D37" s="63" t="s">
        <v>5</v>
      </c>
      <c r="E37" s="64"/>
      <c r="F37" s="64"/>
      <c r="G37" s="64"/>
      <c r="H37" s="64"/>
      <c r="I37" s="65"/>
    </row>
    <row r="38" spans="1:9" ht="16" thickBot="1" x14ac:dyDescent="0.25">
      <c r="A38" s="66" t="s">
        <v>4</v>
      </c>
      <c r="B38" s="67"/>
      <c r="C38" s="68"/>
      <c r="D38" s="69">
        <v>0.46527777777777773</v>
      </c>
      <c r="E38" s="70"/>
      <c r="F38" s="70"/>
      <c r="G38" s="70"/>
      <c r="H38" s="70"/>
      <c r="I38" s="71"/>
    </row>
    <row r="39" spans="1:9" ht="16" thickBot="1" x14ac:dyDescent="0.25">
      <c r="A39" s="72"/>
      <c r="B39" s="72"/>
      <c r="C39" s="72"/>
      <c r="D39" s="72"/>
      <c r="E39" s="72"/>
      <c r="F39" s="72"/>
      <c r="G39" s="72"/>
      <c r="H39" s="72"/>
      <c r="I39" s="72"/>
    </row>
    <row r="40" spans="1:9" ht="14.5" customHeight="1" x14ac:dyDescent="0.2">
      <c r="A40" s="30" t="s">
        <v>48</v>
      </c>
      <c r="B40" s="31"/>
      <c r="C40" s="31"/>
      <c r="D40" s="31"/>
      <c r="E40" s="31"/>
      <c r="F40" s="31"/>
      <c r="G40" s="31"/>
      <c r="H40" s="31"/>
      <c r="I40" s="32"/>
    </row>
    <row r="41" spans="1:9" ht="15" customHeight="1" thickBot="1" x14ac:dyDescent="0.25">
      <c r="A41" s="33"/>
      <c r="B41" s="34"/>
      <c r="C41" s="34"/>
      <c r="D41" s="34"/>
      <c r="E41" s="34"/>
      <c r="F41" s="34"/>
      <c r="G41" s="34"/>
      <c r="H41" s="34"/>
      <c r="I41" s="35"/>
    </row>
    <row r="42" spans="1:9" ht="16" thickBot="1" x14ac:dyDescent="0.25">
      <c r="A42" s="36" t="s">
        <v>45</v>
      </c>
      <c r="B42" s="37"/>
      <c r="C42" s="37"/>
      <c r="D42" s="37"/>
      <c r="E42" s="37"/>
      <c r="F42" s="37"/>
      <c r="G42" s="37"/>
      <c r="H42" s="37"/>
      <c r="I42" s="38"/>
    </row>
    <row r="43" spans="1:9" ht="17" thickTop="1" thickBot="1" x14ac:dyDescent="0.25">
      <c r="A43" s="39">
        <f>D48+D51</f>
        <v>1.2340277777777779</v>
      </c>
      <c r="B43" s="40"/>
      <c r="C43" s="40"/>
      <c r="D43" s="40"/>
      <c r="E43" s="40"/>
      <c r="F43" s="40"/>
      <c r="G43" s="40"/>
      <c r="H43" s="40"/>
      <c r="I43" s="41"/>
    </row>
    <row r="44" spans="1:9" ht="16" thickBot="1" x14ac:dyDescent="0.25">
      <c r="A44" s="42"/>
      <c r="B44" s="43"/>
      <c r="C44" s="43"/>
      <c r="D44" s="43"/>
      <c r="E44" s="43"/>
      <c r="F44" s="43"/>
      <c r="G44" s="43"/>
      <c r="H44" s="43"/>
      <c r="I44" s="44"/>
    </row>
    <row r="45" spans="1:9" ht="16" thickBot="1" x14ac:dyDescent="0.25">
      <c r="A45" s="36" t="s">
        <v>1</v>
      </c>
      <c r="B45" s="37"/>
      <c r="C45" s="37"/>
      <c r="D45" s="37"/>
      <c r="E45" s="37"/>
      <c r="F45" s="37"/>
      <c r="G45" s="37"/>
      <c r="H45" s="37"/>
      <c r="I45" s="38"/>
    </row>
    <row r="46" spans="1:9" ht="16" thickTop="1" x14ac:dyDescent="0.2">
      <c r="A46" s="27"/>
      <c r="B46" s="28"/>
      <c r="C46" s="29"/>
      <c r="D46" s="27"/>
      <c r="E46" s="28"/>
      <c r="F46" s="28"/>
      <c r="G46" s="28"/>
      <c r="H46" s="28"/>
      <c r="I46" s="29"/>
    </row>
    <row r="47" spans="1:9" x14ac:dyDescent="0.2">
      <c r="A47" s="45" t="s">
        <v>2</v>
      </c>
      <c r="B47" s="46"/>
      <c r="C47" s="47"/>
      <c r="D47" s="48" t="s">
        <v>3</v>
      </c>
      <c r="E47" s="49"/>
      <c r="F47" s="49"/>
      <c r="G47" s="49"/>
      <c r="H47" s="49"/>
      <c r="I47" s="50"/>
    </row>
    <row r="48" spans="1:9" x14ac:dyDescent="0.2">
      <c r="A48" s="51" t="s">
        <v>4</v>
      </c>
      <c r="B48" s="52"/>
      <c r="C48" s="53"/>
      <c r="D48" s="54">
        <v>0.80347222222222248</v>
      </c>
      <c r="E48" s="55"/>
      <c r="F48" s="55"/>
      <c r="G48" s="55"/>
      <c r="H48" s="55"/>
      <c r="I48" s="56"/>
    </row>
    <row r="49" spans="1:9" ht="16" thickBot="1" x14ac:dyDescent="0.25">
      <c r="A49" s="57"/>
      <c r="B49" s="58"/>
      <c r="C49" s="59"/>
      <c r="D49" s="57"/>
      <c r="E49" s="58"/>
      <c r="F49" s="58"/>
      <c r="G49" s="58"/>
      <c r="H49" s="58"/>
      <c r="I49" s="59"/>
    </row>
    <row r="50" spans="1:9" x14ac:dyDescent="0.2">
      <c r="A50" s="60" t="s">
        <v>2</v>
      </c>
      <c r="B50" s="61"/>
      <c r="C50" s="62"/>
      <c r="D50" s="63" t="s">
        <v>5</v>
      </c>
      <c r="E50" s="64"/>
      <c r="F50" s="64"/>
      <c r="G50" s="64"/>
      <c r="H50" s="64"/>
      <c r="I50" s="65"/>
    </row>
    <row r="51" spans="1:9" ht="16" thickBot="1" x14ac:dyDescent="0.25">
      <c r="A51" s="66" t="s">
        <v>4</v>
      </c>
      <c r="B51" s="67"/>
      <c r="C51" s="68"/>
      <c r="D51" s="69">
        <v>0.43055555555555552</v>
      </c>
      <c r="E51" s="70"/>
      <c r="F51" s="70"/>
      <c r="G51" s="70"/>
      <c r="H51" s="70"/>
      <c r="I51" s="71"/>
    </row>
    <row r="52" spans="1:9" ht="16" thickBot="1" x14ac:dyDescent="0.25">
      <c r="A52" s="72"/>
      <c r="B52" s="72"/>
      <c r="C52" s="72"/>
      <c r="D52" s="72"/>
      <c r="E52" s="72"/>
      <c r="F52" s="72"/>
      <c r="G52" s="72"/>
      <c r="H52" s="72"/>
      <c r="I52" s="72"/>
    </row>
    <row r="53" spans="1:9" ht="14.5" customHeight="1" x14ac:dyDescent="0.2">
      <c r="A53" s="30" t="s">
        <v>0</v>
      </c>
      <c r="B53" s="31"/>
      <c r="C53" s="31"/>
      <c r="D53" s="31"/>
      <c r="E53" s="31"/>
      <c r="F53" s="31"/>
      <c r="G53" s="31"/>
      <c r="H53" s="31"/>
      <c r="I53" s="32"/>
    </row>
    <row r="54" spans="1:9" ht="15" customHeight="1" thickBot="1" x14ac:dyDescent="0.25">
      <c r="A54" s="33"/>
      <c r="B54" s="34"/>
      <c r="C54" s="34"/>
      <c r="D54" s="34"/>
      <c r="E54" s="34"/>
      <c r="F54" s="34"/>
      <c r="G54" s="34"/>
      <c r="H54" s="34"/>
      <c r="I54" s="35"/>
    </row>
    <row r="55" spans="1:9" ht="16" thickBot="1" x14ac:dyDescent="0.25">
      <c r="A55" s="36" t="s">
        <v>45</v>
      </c>
      <c r="B55" s="37"/>
      <c r="C55" s="37"/>
      <c r="D55" s="37"/>
      <c r="E55" s="37"/>
      <c r="F55" s="37"/>
      <c r="G55" s="37"/>
      <c r="H55" s="37"/>
      <c r="I55" s="38"/>
    </row>
    <row r="56" spans="1:9" ht="17" thickTop="1" thickBot="1" x14ac:dyDescent="0.25">
      <c r="A56" s="39">
        <f>D61+D64</f>
        <v>1.566666666666666</v>
      </c>
      <c r="B56" s="40"/>
      <c r="C56" s="40"/>
      <c r="D56" s="40"/>
      <c r="E56" s="40"/>
      <c r="F56" s="40"/>
      <c r="G56" s="40"/>
      <c r="H56" s="40"/>
      <c r="I56" s="41"/>
    </row>
    <row r="57" spans="1:9" ht="16" thickBot="1" x14ac:dyDescent="0.25">
      <c r="A57" s="42"/>
      <c r="B57" s="43"/>
      <c r="C57" s="43"/>
      <c r="D57" s="43"/>
      <c r="E57" s="43"/>
      <c r="F57" s="43"/>
      <c r="G57" s="43"/>
      <c r="H57" s="43"/>
      <c r="I57" s="44"/>
    </row>
    <row r="58" spans="1:9" ht="16" thickBot="1" x14ac:dyDescent="0.25">
      <c r="A58" s="36" t="s">
        <v>1</v>
      </c>
      <c r="B58" s="37"/>
      <c r="C58" s="37"/>
      <c r="D58" s="37"/>
      <c r="E58" s="37"/>
      <c r="F58" s="37"/>
      <c r="G58" s="37"/>
      <c r="H58" s="37"/>
      <c r="I58" s="38"/>
    </row>
    <row r="59" spans="1:9" ht="16" thickTop="1" x14ac:dyDescent="0.2">
      <c r="A59" s="27"/>
      <c r="B59" s="28"/>
      <c r="C59" s="29"/>
      <c r="D59" s="27"/>
      <c r="E59" s="28"/>
      <c r="F59" s="28"/>
      <c r="G59" s="28"/>
      <c r="H59" s="28"/>
      <c r="I59" s="29"/>
    </row>
    <row r="60" spans="1:9" x14ac:dyDescent="0.2">
      <c r="A60" s="45" t="s">
        <v>2</v>
      </c>
      <c r="B60" s="46"/>
      <c r="C60" s="47"/>
      <c r="D60" s="48" t="s">
        <v>3</v>
      </c>
      <c r="E60" s="49"/>
      <c r="F60" s="49"/>
      <c r="G60" s="49"/>
      <c r="H60" s="49"/>
      <c r="I60" s="50"/>
    </row>
    <row r="61" spans="1:9" x14ac:dyDescent="0.2">
      <c r="A61" s="51" t="s">
        <v>4</v>
      </c>
      <c r="B61" s="52"/>
      <c r="C61" s="53"/>
      <c r="D61" s="54">
        <v>0.87777777777777743</v>
      </c>
      <c r="E61" s="55"/>
      <c r="F61" s="55"/>
      <c r="G61" s="55"/>
      <c r="H61" s="55"/>
      <c r="I61" s="56"/>
    </row>
    <row r="62" spans="1:9" ht="16" thickBot="1" x14ac:dyDescent="0.25">
      <c r="A62" s="57"/>
      <c r="B62" s="58"/>
      <c r="C62" s="59"/>
      <c r="D62" s="57"/>
      <c r="E62" s="58"/>
      <c r="F62" s="58"/>
      <c r="G62" s="58"/>
      <c r="H62" s="58"/>
      <c r="I62" s="59"/>
    </row>
    <row r="63" spans="1:9" x14ac:dyDescent="0.2">
      <c r="A63" s="60" t="s">
        <v>2</v>
      </c>
      <c r="B63" s="61"/>
      <c r="C63" s="62"/>
      <c r="D63" s="63" t="s">
        <v>5</v>
      </c>
      <c r="E63" s="64"/>
      <c r="F63" s="64"/>
      <c r="G63" s="64"/>
      <c r="H63" s="64"/>
      <c r="I63" s="65"/>
    </row>
    <row r="64" spans="1:9" ht="16" thickBot="1" x14ac:dyDescent="0.25">
      <c r="A64" s="66" t="s">
        <v>4</v>
      </c>
      <c r="B64" s="67"/>
      <c r="C64" s="68"/>
      <c r="D64" s="69">
        <v>0.68888888888888866</v>
      </c>
      <c r="E64" s="70"/>
      <c r="F64" s="70"/>
      <c r="G64" s="70"/>
      <c r="H64" s="70"/>
      <c r="I64" s="71"/>
    </row>
    <row r="65" spans="1:9" x14ac:dyDescent="0.2">
      <c r="A65" s="72"/>
      <c r="B65" s="72"/>
      <c r="C65" s="72"/>
      <c r="D65" s="72"/>
      <c r="E65" s="72"/>
      <c r="F65" s="72"/>
      <c r="G65" s="72"/>
      <c r="H65" s="72"/>
      <c r="I65" s="72"/>
    </row>
    <row r="66" spans="1:9" ht="14.5" customHeight="1" x14ac:dyDescent="0.2"/>
    <row r="67" spans="1:9" ht="15" customHeight="1" x14ac:dyDescent="0.2"/>
    <row r="79" spans="1:9" ht="15" customHeight="1" x14ac:dyDescent="0.2"/>
    <row r="80" spans="1:9" ht="15.75" customHeight="1" x14ac:dyDescent="0.2"/>
    <row r="92" ht="15" customHeight="1" x14ac:dyDescent="0.2"/>
    <row r="93" ht="15.75" customHeight="1" x14ac:dyDescent="0.2"/>
    <row r="105" ht="14.5" customHeight="1" x14ac:dyDescent="0.2"/>
    <row r="106" ht="15" customHeight="1" x14ac:dyDescent="0.2"/>
    <row r="118" ht="14.5" customHeight="1" x14ac:dyDescent="0.2"/>
    <row r="119" ht="1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57" ht="14.5" customHeight="1" x14ac:dyDescent="0.2"/>
    <row r="158" ht="15" customHeight="1" x14ac:dyDescent="0.2"/>
    <row r="170" ht="14.5" customHeight="1" x14ac:dyDescent="0.2"/>
    <row r="171" ht="15" customHeight="1" x14ac:dyDescent="0.2"/>
    <row r="183" ht="14.5" customHeight="1" x14ac:dyDescent="0.2"/>
    <row r="184" ht="15" customHeight="1" x14ac:dyDescent="0.2"/>
    <row r="196" ht="14.5" customHeight="1" x14ac:dyDescent="0.2"/>
    <row r="197" ht="15" customHeight="1" x14ac:dyDescent="0.2"/>
    <row r="209" ht="14.5" customHeight="1" x14ac:dyDescent="0.2"/>
    <row r="210" ht="15" customHeight="1" x14ac:dyDescent="0.2"/>
    <row r="248" ht="14.5" customHeight="1" x14ac:dyDescent="0.2"/>
    <row r="249" ht="15" customHeight="1" x14ac:dyDescent="0.2"/>
    <row r="261" ht="14.5" customHeight="1" x14ac:dyDescent="0.2"/>
    <row r="262" ht="15" customHeight="1" x14ac:dyDescent="0.2"/>
    <row r="274" ht="14.5" customHeight="1" x14ac:dyDescent="0.2"/>
    <row r="275" ht="15" customHeight="1" x14ac:dyDescent="0.2"/>
  </sheetData>
  <mergeCells count="90"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59:C59"/>
    <mergeCell ref="D59:I59"/>
    <mergeCell ref="A53:I54"/>
    <mergeCell ref="A55:I55"/>
    <mergeCell ref="A56:I56"/>
    <mergeCell ref="A57:I57"/>
    <mergeCell ref="A58:I58"/>
    <mergeCell ref="A60:C60"/>
    <mergeCell ref="D60:I60"/>
    <mergeCell ref="A61:C61"/>
    <mergeCell ref="D61:I61"/>
    <mergeCell ref="A62:C62"/>
    <mergeCell ref="D62:I62"/>
    <mergeCell ref="A63:C63"/>
    <mergeCell ref="D63:I63"/>
    <mergeCell ref="A64:C64"/>
    <mergeCell ref="D64:I64"/>
    <mergeCell ref="A65:I65"/>
    <mergeCell ref="A40:I41"/>
    <mergeCell ref="A42:I42"/>
    <mergeCell ref="A43:I43"/>
    <mergeCell ref="A44:I44"/>
    <mergeCell ref="A45:I45"/>
    <mergeCell ref="A46:C46"/>
    <mergeCell ref="D46:I46"/>
    <mergeCell ref="A47:C47"/>
    <mergeCell ref="D47:I47"/>
    <mergeCell ref="A48:C48"/>
    <mergeCell ref="D48:I48"/>
    <mergeCell ref="A52:I52"/>
    <mergeCell ref="A49:C49"/>
    <mergeCell ref="D49:I49"/>
    <mergeCell ref="A50:C50"/>
    <mergeCell ref="D50:I50"/>
    <mergeCell ref="A51:C51"/>
    <mergeCell ref="D51:I51"/>
    <mergeCell ref="A27:I28"/>
    <mergeCell ref="A29:I29"/>
    <mergeCell ref="A30:I30"/>
    <mergeCell ref="A31:I31"/>
    <mergeCell ref="A32:I32"/>
    <mergeCell ref="A33:C33"/>
    <mergeCell ref="D33:I33"/>
    <mergeCell ref="A34:C34"/>
    <mergeCell ref="D34:I34"/>
    <mergeCell ref="A35:C35"/>
    <mergeCell ref="D35:I35"/>
    <mergeCell ref="A39:I39"/>
    <mergeCell ref="A36:C36"/>
    <mergeCell ref="D36:I36"/>
    <mergeCell ref="A37:C37"/>
    <mergeCell ref="D37:I37"/>
    <mergeCell ref="A38:C38"/>
    <mergeCell ref="D38:I38"/>
    <mergeCell ref="A1:I2"/>
    <mergeCell ref="A3:I3"/>
    <mergeCell ref="A4:I4"/>
    <mergeCell ref="A5:I5"/>
    <mergeCell ref="A6:I6"/>
    <mergeCell ref="A7:C7"/>
    <mergeCell ref="D7:I7"/>
    <mergeCell ref="A8:C8"/>
    <mergeCell ref="D8:I8"/>
    <mergeCell ref="A9:C9"/>
    <mergeCell ref="D9:I9"/>
    <mergeCell ref="A13:I13"/>
    <mergeCell ref="A10:C10"/>
    <mergeCell ref="D10:I10"/>
    <mergeCell ref="A11:C11"/>
    <mergeCell ref="D11:I11"/>
    <mergeCell ref="A12:C12"/>
    <mergeCell ref="D12:I12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82" t="s">
        <v>46</v>
      </c>
      <c r="B1" s="82"/>
      <c r="C1" s="82"/>
      <c r="D1" s="82"/>
      <c r="E1" s="82"/>
      <c r="F1" s="82"/>
      <c r="G1" s="82"/>
      <c r="H1" s="82"/>
      <c r="I1" s="82"/>
    </row>
    <row r="2" spans="1:9" x14ac:dyDescent="0.2">
      <c r="A2" s="82"/>
      <c r="B2" s="82"/>
      <c r="C2" s="82"/>
      <c r="D2" s="82"/>
      <c r="E2" s="82"/>
      <c r="F2" s="82"/>
      <c r="G2" s="82"/>
      <c r="H2" s="82"/>
      <c r="I2" s="82"/>
    </row>
    <row r="3" spans="1:9" x14ac:dyDescent="0.2">
      <c r="A3" s="83"/>
      <c r="B3" s="83"/>
      <c r="C3" s="83"/>
      <c r="D3" s="83"/>
      <c r="E3" s="83"/>
      <c r="F3" s="83"/>
      <c r="G3" s="83"/>
      <c r="H3" s="83"/>
      <c r="I3" s="83"/>
    </row>
    <row r="4" spans="1:9" x14ac:dyDescent="0.2">
      <c r="A4" s="83"/>
      <c r="B4" s="83"/>
      <c r="C4" s="83"/>
      <c r="D4" s="83"/>
      <c r="E4" s="83"/>
      <c r="F4" s="83"/>
      <c r="G4" s="83"/>
      <c r="H4" s="83"/>
      <c r="I4" s="83"/>
    </row>
    <row r="5" spans="1:9" x14ac:dyDescent="0.2">
      <c r="A5" s="83"/>
      <c r="B5" s="83"/>
      <c r="C5" s="83"/>
      <c r="D5" s="83"/>
      <c r="E5" s="83"/>
      <c r="F5" s="83"/>
      <c r="G5" s="83"/>
      <c r="H5" s="83"/>
      <c r="I5" s="83"/>
    </row>
    <row r="6" spans="1:9" x14ac:dyDescent="0.2">
      <c r="A6" s="83"/>
      <c r="B6" s="83"/>
      <c r="C6" s="83"/>
      <c r="D6" s="83"/>
      <c r="E6" s="83"/>
      <c r="F6" s="83"/>
      <c r="G6" s="83"/>
      <c r="H6" s="83"/>
      <c r="I6" s="83"/>
    </row>
    <row r="7" spans="1:9" x14ac:dyDescent="0.2">
      <c r="A7" s="83"/>
      <c r="B7" s="83"/>
      <c r="C7" s="83"/>
      <c r="D7" s="83"/>
      <c r="E7" s="83"/>
      <c r="F7" s="83"/>
      <c r="G7" s="83"/>
      <c r="H7" s="83"/>
      <c r="I7" s="83"/>
    </row>
    <row r="8" spans="1:9" x14ac:dyDescent="0.2">
      <c r="A8" s="83"/>
      <c r="B8" s="83"/>
      <c r="C8" s="83"/>
      <c r="D8" s="83"/>
      <c r="E8" s="83"/>
      <c r="F8" s="83"/>
      <c r="G8" s="83"/>
      <c r="H8" s="83"/>
      <c r="I8" s="83"/>
    </row>
    <row r="9" spans="1:9" x14ac:dyDescent="0.2">
      <c r="A9" s="83"/>
      <c r="B9" s="83"/>
      <c r="C9" s="83"/>
      <c r="D9" s="83"/>
      <c r="E9" s="83"/>
      <c r="F9" s="83"/>
      <c r="G9" s="83"/>
      <c r="H9" s="83"/>
      <c r="I9" s="83"/>
    </row>
    <row r="10" spans="1:9" x14ac:dyDescent="0.2">
      <c r="A10" s="83"/>
      <c r="B10" s="83"/>
      <c r="C10" s="83"/>
      <c r="D10" s="83"/>
      <c r="E10" s="83"/>
      <c r="F10" s="83"/>
      <c r="G10" s="83"/>
      <c r="H10" s="83"/>
      <c r="I10" s="83"/>
    </row>
    <row r="11" spans="1:9" x14ac:dyDescent="0.2">
      <c r="A11" s="83"/>
      <c r="B11" s="83"/>
      <c r="C11" s="83"/>
      <c r="D11" s="83"/>
      <c r="E11" s="83"/>
      <c r="F11" s="83"/>
      <c r="G11" s="83"/>
      <c r="H11" s="83"/>
      <c r="I11" s="83"/>
    </row>
    <row r="12" spans="1:9" x14ac:dyDescent="0.2">
      <c r="A12" s="83"/>
      <c r="B12" s="83"/>
      <c r="C12" s="83"/>
      <c r="D12" s="83"/>
      <c r="E12" s="83"/>
      <c r="F12" s="83"/>
      <c r="G12" s="83"/>
      <c r="H12" s="83"/>
      <c r="I12" s="83"/>
    </row>
    <row r="13" spans="1:9" x14ac:dyDescent="0.2">
      <c r="A13" s="83"/>
      <c r="B13" s="83"/>
      <c r="C13" s="83"/>
      <c r="D13" s="83"/>
      <c r="E13" s="83"/>
      <c r="F13" s="83"/>
      <c r="G13" s="83"/>
      <c r="H13" s="83"/>
      <c r="I13" s="83"/>
    </row>
    <row r="14" spans="1:9" x14ac:dyDescent="0.2">
      <c r="A14" s="83"/>
      <c r="B14" s="83"/>
      <c r="C14" s="83"/>
      <c r="D14" s="83"/>
      <c r="E14" s="83"/>
      <c r="F14" s="83"/>
      <c r="G14" s="83"/>
      <c r="H14" s="83"/>
      <c r="I14" s="83"/>
    </row>
    <row r="15" spans="1:9" x14ac:dyDescent="0.2">
      <c r="A15" s="83"/>
      <c r="B15" s="83"/>
      <c r="C15" s="83"/>
      <c r="D15" s="83"/>
      <c r="E15" s="83"/>
      <c r="F15" s="83"/>
      <c r="G15" s="83"/>
      <c r="H15" s="83"/>
      <c r="I15" s="83"/>
    </row>
    <row r="16" spans="1:9" x14ac:dyDescent="0.2">
      <c r="A16" s="83"/>
      <c r="B16" s="83"/>
      <c r="C16" s="83"/>
      <c r="D16" s="83"/>
      <c r="E16" s="83"/>
      <c r="F16" s="83"/>
      <c r="G16" s="83"/>
      <c r="H16" s="83"/>
      <c r="I16" s="83"/>
    </row>
    <row r="17" spans="1:9" x14ac:dyDescent="0.2">
      <c r="A17" s="83"/>
      <c r="B17" s="83"/>
      <c r="C17" s="83"/>
      <c r="D17" s="83"/>
      <c r="E17" s="83"/>
      <c r="F17" s="83"/>
      <c r="G17" s="83"/>
      <c r="H17" s="83"/>
      <c r="I17" s="83"/>
    </row>
    <row r="18" spans="1:9" x14ac:dyDescent="0.2">
      <c r="A18" s="83"/>
      <c r="B18" s="83"/>
      <c r="C18" s="83"/>
      <c r="D18" s="83"/>
      <c r="E18" s="83"/>
      <c r="F18" s="83"/>
      <c r="G18" s="83"/>
      <c r="H18" s="83"/>
      <c r="I18" s="83"/>
    </row>
    <row r="19" spans="1:9" x14ac:dyDescent="0.2">
      <c r="A19" s="83"/>
      <c r="B19" s="83"/>
      <c r="C19" s="83"/>
      <c r="D19" s="83"/>
      <c r="E19" s="83"/>
      <c r="F19" s="83"/>
      <c r="G19" s="83"/>
      <c r="H19" s="83"/>
      <c r="I19" s="83"/>
    </row>
    <row r="20" spans="1:9" x14ac:dyDescent="0.2">
      <c r="A20" s="83"/>
      <c r="B20" s="83"/>
      <c r="C20" s="83"/>
      <c r="D20" s="83"/>
      <c r="E20" s="83"/>
      <c r="F20" s="83"/>
      <c r="G20" s="83"/>
      <c r="H20" s="83"/>
      <c r="I20" s="83"/>
    </row>
    <row r="21" spans="1:9" x14ac:dyDescent="0.2">
      <c r="A21" s="83"/>
      <c r="B21" s="83"/>
      <c r="C21" s="83"/>
      <c r="D21" s="83"/>
      <c r="E21" s="83"/>
      <c r="F21" s="83"/>
      <c r="G21" s="83"/>
      <c r="H21" s="83"/>
      <c r="I21" s="83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2" t="s">
        <v>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2" t="s">
        <v>46</v>
      </c>
      <c r="T1" s="83"/>
      <c r="U1" s="83"/>
      <c r="V1" s="83"/>
      <c r="W1" s="83"/>
    </row>
    <row r="2" spans="1:23" ht="16" thickBot="1" x14ac:dyDescent="0.2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3"/>
      <c r="T2" s="83"/>
      <c r="U2" s="83"/>
      <c r="V2" s="83"/>
      <c r="W2" s="83"/>
    </row>
    <row r="3" spans="1:23" ht="16" thickTop="1" x14ac:dyDescent="0.2">
      <c r="A3" s="85" t="s">
        <v>6</v>
      </c>
      <c r="B3" s="86"/>
      <c r="C3" s="87" t="s">
        <v>42</v>
      </c>
      <c r="D3" s="88"/>
      <c r="E3" s="88"/>
      <c r="F3" s="88"/>
      <c r="G3" s="88"/>
      <c r="H3" s="88"/>
      <c r="I3" s="89"/>
      <c r="J3" s="85" t="s">
        <v>6</v>
      </c>
      <c r="K3" s="86"/>
      <c r="L3" s="87" t="s">
        <v>41</v>
      </c>
      <c r="M3" s="88"/>
      <c r="N3" s="88"/>
      <c r="O3" s="88"/>
      <c r="P3" s="88"/>
      <c r="Q3" s="88"/>
      <c r="R3" s="89"/>
      <c r="S3" s="90"/>
      <c r="T3" s="83"/>
      <c r="U3" s="83"/>
      <c r="V3" s="83"/>
      <c r="W3" s="83"/>
    </row>
    <row r="4" spans="1:23" x14ac:dyDescent="0.2">
      <c r="A4" s="91" t="s">
        <v>7</v>
      </c>
      <c r="B4" s="92"/>
      <c r="C4" s="73" t="s">
        <v>44</v>
      </c>
      <c r="D4" s="73"/>
      <c r="E4" s="73"/>
      <c r="F4" s="73"/>
      <c r="G4" s="73"/>
      <c r="H4" s="73"/>
      <c r="I4" s="74"/>
      <c r="J4" s="91" t="s">
        <v>7</v>
      </c>
      <c r="K4" s="92"/>
      <c r="L4" s="73" t="s">
        <v>44</v>
      </c>
      <c r="M4" s="73"/>
      <c r="N4" s="73"/>
      <c r="O4" s="73"/>
      <c r="P4" s="73"/>
      <c r="Q4" s="73"/>
      <c r="R4" s="74"/>
      <c r="S4" s="90"/>
      <c r="T4" s="83"/>
      <c r="U4" s="83"/>
      <c r="V4" s="83"/>
      <c r="W4" s="83"/>
    </row>
    <row r="5" spans="1:23" x14ac:dyDescent="0.2">
      <c r="A5" s="75" t="s">
        <v>2</v>
      </c>
      <c r="B5" s="76"/>
      <c r="C5" s="77" t="s">
        <v>3</v>
      </c>
      <c r="D5" s="77"/>
      <c r="E5" s="77"/>
      <c r="F5" s="77"/>
      <c r="G5" s="77"/>
      <c r="H5" s="77"/>
      <c r="I5" s="78"/>
      <c r="J5" s="75" t="s">
        <v>2</v>
      </c>
      <c r="K5" s="76"/>
      <c r="L5" s="77" t="s">
        <v>5</v>
      </c>
      <c r="M5" s="77"/>
      <c r="N5" s="77"/>
      <c r="O5" s="77"/>
      <c r="P5" s="77"/>
      <c r="Q5" s="77"/>
      <c r="R5" s="78"/>
      <c r="S5" s="90"/>
      <c r="T5" s="83"/>
      <c r="U5" s="83"/>
      <c r="V5" s="83"/>
      <c r="W5" s="83"/>
    </row>
    <row r="6" spans="1:23" ht="16" thickBot="1" x14ac:dyDescent="0.25">
      <c r="A6" s="79"/>
      <c r="B6" s="80"/>
      <c r="C6" s="80"/>
      <c r="D6" s="80"/>
      <c r="E6" s="80"/>
      <c r="F6" s="80"/>
      <c r="G6" s="80"/>
      <c r="H6" s="80"/>
      <c r="I6" s="81"/>
      <c r="J6" s="79"/>
      <c r="K6" s="80"/>
      <c r="L6" s="80"/>
      <c r="M6" s="80"/>
      <c r="N6" s="80"/>
      <c r="O6" s="80"/>
      <c r="P6" s="80"/>
      <c r="Q6" s="80"/>
      <c r="R6" s="81"/>
      <c r="S6" s="90"/>
      <c r="T6" s="83"/>
      <c r="U6" s="83"/>
      <c r="V6" s="83"/>
      <c r="W6" s="83"/>
    </row>
    <row r="7" spans="1:23" ht="16" thickBot="1" x14ac:dyDescent="0.25">
      <c r="A7" s="104" t="s">
        <v>8</v>
      </c>
      <c r="B7" s="105"/>
      <c r="C7" s="110" t="s">
        <v>43</v>
      </c>
      <c r="D7" s="93" t="s">
        <v>9</v>
      </c>
      <c r="E7" s="93"/>
      <c r="F7" s="94"/>
      <c r="G7" s="36" t="s">
        <v>10</v>
      </c>
      <c r="H7" s="37"/>
      <c r="I7" s="99"/>
      <c r="J7" s="104" t="s">
        <v>8</v>
      </c>
      <c r="K7" s="105"/>
      <c r="L7" s="110" t="s">
        <v>43</v>
      </c>
      <c r="M7" s="93" t="s">
        <v>9</v>
      </c>
      <c r="N7" s="93"/>
      <c r="O7" s="94"/>
      <c r="P7" s="36" t="s">
        <v>10</v>
      </c>
      <c r="Q7" s="37"/>
      <c r="R7" s="99"/>
      <c r="S7" s="90"/>
      <c r="T7" s="83"/>
      <c r="U7" s="83"/>
      <c r="V7" s="83"/>
      <c r="W7" s="83"/>
    </row>
    <row r="8" spans="1:23" ht="16" thickTop="1" x14ac:dyDescent="0.2">
      <c r="A8" s="106"/>
      <c r="B8" s="107"/>
      <c r="C8" s="111"/>
      <c r="D8" s="95"/>
      <c r="E8" s="95"/>
      <c r="F8" s="96"/>
      <c r="G8" s="100" t="s">
        <v>11</v>
      </c>
      <c r="H8" s="100" t="s">
        <v>12</v>
      </c>
      <c r="I8" s="102" t="s">
        <v>13</v>
      </c>
      <c r="J8" s="106"/>
      <c r="K8" s="107"/>
      <c r="L8" s="111"/>
      <c r="M8" s="95"/>
      <c r="N8" s="95"/>
      <c r="O8" s="96"/>
      <c r="P8" s="100" t="s">
        <v>11</v>
      </c>
      <c r="Q8" s="100" t="s">
        <v>12</v>
      </c>
      <c r="R8" s="102" t="s">
        <v>13</v>
      </c>
      <c r="S8" s="90"/>
      <c r="T8" s="83"/>
      <c r="U8" s="83"/>
      <c r="V8" s="83"/>
      <c r="W8" s="83"/>
    </row>
    <row r="9" spans="1:23" x14ac:dyDescent="0.2">
      <c r="A9" s="106"/>
      <c r="B9" s="107"/>
      <c r="C9" s="111"/>
      <c r="D9" s="95"/>
      <c r="E9" s="95"/>
      <c r="F9" s="96"/>
      <c r="G9" s="100"/>
      <c r="H9" s="100"/>
      <c r="I9" s="102"/>
      <c r="J9" s="106"/>
      <c r="K9" s="107"/>
      <c r="L9" s="111"/>
      <c r="M9" s="95"/>
      <c r="N9" s="95"/>
      <c r="O9" s="96"/>
      <c r="P9" s="100"/>
      <c r="Q9" s="100"/>
      <c r="R9" s="102"/>
      <c r="S9" s="90"/>
      <c r="T9" s="83"/>
      <c r="U9" s="83"/>
      <c r="V9" s="83"/>
      <c r="W9" s="83"/>
    </row>
    <row r="10" spans="1:23" x14ac:dyDescent="0.2">
      <c r="A10" s="106"/>
      <c r="B10" s="107"/>
      <c r="C10" s="111"/>
      <c r="D10" s="95"/>
      <c r="E10" s="95"/>
      <c r="F10" s="96"/>
      <c r="G10" s="100"/>
      <c r="H10" s="100"/>
      <c r="I10" s="102"/>
      <c r="J10" s="106"/>
      <c r="K10" s="107"/>
      <c r="L10" s="111"/>
      <c r="M10" s="95"/>
      <c r="N10" s="95"/>
      <c r="O10" s="96"/>
      <c r="P10" s="100"/>
      <c r="Q10" s="100"/>
      <c r="R10" s="102"/>
      <c r="S10" s="90"/>
      <c r="T10" s="83"/>
      <c r="U10" s="83"/>
      <c r="V10" s="83"/>
      <c r="W10" s="83"/>
    </row>
    <row r="11" spans="1:23" ht="16" thickBot="1" x14ac:dyDescent="0.25">
      <c r="A11" s="108"/>
      <c r="B11" s="109"/>
      <c r="C11" s="112"/>
      <c r="D11" s="97"/>
      <c r="E11" s="97"/>
      <c r="F11" s="98"/>
      <c r="G11" s="101"/>
      <c r="H11" s="101"/>
      <c r="I11" s="103"/>
      <c r="J11" s="108"/>
      <c r="K11" s="109"/>
      <c r="L11" s="112"/>
      <c r="M11" s="97"/>
      <c r="N11" s="97"/>
      <c r="O11" s="98"/>
      <c r="P11" s="101"/>
      <c r="Q11" s="101"/>
      <c r="R11" s="103"/>
      <c r="S11" s="90"/>
      <c r="T11" s="83"/>
      <c r="U11" s="83"/>
      <c r="V11" s="83"/>
      <c r="W11" s="83"/>
    </row>
    <row r="12" spans="1:23" x14ac:dyDescent="0.2">
      <c r="A12" s="116" t="s">
        <v>14</v>
      </c>
      <c r="B12" s="117"/>
      <c r="C12" s="14"/>
      <c r="D12" s="118" t="s">
        <v>15</v>
      </c>
      <c r="E12" s="118"/>
      <c r="F12" s="119"/>
      <c r="G12" s="2">
        <v>0.5</v>
      </c>
      <c r="H12" s="3">
        <v>0.56597222222222221</v>
      </c>
      <c r="I12" s="4">
        <f>H12-G12</f>
        <v>6.597222222222221E-2</v>
      </c>
      <c r="J12" s="116">
        <v>44852</v>
      </c>
      <c r="K12" s="117"/>
      <c r="L12" s="14"/>
      <c r="M12" s="73" t="s">
        <v>16</v>
      </c>
      <c r="N12" s="73"/>
      <c r="O12" s="115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113" t="s">
        <v>17</v>
      </c>
      <c r="B13" s="114"/>
      <c r="C13" s="7"/>
      <c r="D13" s="73" t="s">
        <v>18</v>
      </c>
      <c r="E13" s="73"/>
      <c r="F13" s="115"/>
      <c r="G13" s="5">
        <v>0.53125</v>
      </c>
      <c r="H13" s="6">
        <v>0.64236111111111105</v>
      </c>
      <c r="I13" s="4">
        <f>H13-G13</f>
        <v>0.11111111111111105</v>
      </c>
      <c r="J13" s="113">
        <v>44853</v>
      </c>
      <c r="K13" s="114"/>
      <c r="L13" s="7"/>
      <c r="M13" s="73" t="s">
        <v>19</v>
      </c>
      <c r="N13" s="73"/>
      <c r="O13" s="115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113" t="s">
        <v>17</v>
      </c>
      <c r="B14" s="114"/>
      <c r="C14" s="7"/>
      <c r="D14" s="73" t="s">
        <v>20</v>
      </c>
      <c r="E14" s="73"/>
      <c r="F14" s="115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13">
        <v>44853</v>
      </c>
      <c r="K14" s="114"/>
      <c r="L14" s="17"/>
      <c r="M14" s="73" t="s">
        <v>21</v>
      </c>
      <c r="N14" s="73"/>
      <c r="O14" s="115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113" t="s">
        <v>22</v>
      </c>
      <c r="B15" s="114"/>
      <c r="C15" s="7"/>
      <c r="D15" s="73" t="s">
        <v>23</v>
      </c>
      <c r="E15" s="73"/>
      <c r="F15" s="115"/>
      <c r="G15" s="5">
        <v>0.33333333333333331</v>
      </c>
      <c r="H15" s="6">
        <v>0.4513888888888889</v>
      </c>
      <c r="I15" s="4">
        <f t="shared" si="0"/>
        <v>0.11805555555555558</v>
      </c>
      <c r="J15" s="113">
        <v>44854</v>
      </c>
      <c r="K15" s="114"/>
      <c r="L15" s="7"/>
      <c r="M15" s="73" t="s">
        <v>24</v>
      </c>
      <c r="N15" s="73"/>
      <c r="O15" s="115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113" t="s">
        <v>25</v>
      </c>
      <c r="B16" s="114"/>
      <c r="C16" s="7"/>
      <c r="D16" s="73" t="s">
        <v>26</v>
      </c>
      <c r="E16" s="73"/>
      <c r="F16" s="115"/>
      <c r="G16" s="5">
        <v>0.36805555555555558</v>
      </c>
      <c r="H16" s="6">
        <v>0.4513888888888889</v>
      </c>
      <c r="I16" s="4">
        <f t="shared" si="0"/>
        <v>8.3333333333333315E-2</v>
      </c>
      <c r="J16" s="113">
        <v>44855</v>
      </c>
      <c r="K16" s="120"/>
      <c r="L16" s="7"/>
      <c r="M16" s="73" t="s">
        <v>27</v>
      </c>
      <c r="N16" s="73"/>
      <c r="O16" s="115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113" t="s">
        <v>28</v>
      </c>
      <c r="B17" s="114"/>
      <c r="C17" s="7"/>
      <c r="D17" s="73" t="s">
        <v>29</v>
      </c>
      <c r="E17" s="73"/>
      <c r="F17" s="115"/>
      <c r="G17" s="5">
        <v>0.77083333333333337</v>
      </c>
      <c r="H17" s="6">
        <v>0.85416666666666663</v>
      </c>
      <c r="I17" s="4">
        <f t="shared" si="0"/>
        <v>8.3333333333333259E-2</v>
      </c>
      <c r="J17" s="113">
        <v>44877</v>
      </c>
      <c r="K17" s="114"/>
      <c r="L17" s="7"/>
      <c r="M17" s="73" t="s">
        <v>30</v>
      </c>
      <c r="N17" s="73"/>
      <c r="O17" s="115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113" t="s">
        <v>28</v>
      </c>
      <c r="B18" s="114"/>
      <c r="C18" s="7"/>
      <c r="D18" s="73" t="s">
        <v>31</v>
      </c>
      <c r="E18" s="73"/>
      <c r="F18" s="115"/>
      <c r="G18" s="5">
        <v>0.85416666666666663</v>
      </c>
      <c r="H18" s="6">
        <v>0.89583333333333337</v>
      </c>
      <c r="I18" s="4">
        <f t="shared" si="0"/>
        <v>4.1666666666666741E-2</v>
      </c>
      <c r="J18" s="113">
        <v>44846</v>
      </c>
      <c r="K18" s="114"/>
      <c r="L18" s="7"/>
      <c r="M18" s="73" t="s">
        <v>32</v>
      </c>
      <c r="N18" s="73"/>
      <c r="O18" s="115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113">
        <v>44878</v>
      </c>
      <c r="B19" s="114"/>
      <c r="C19" s="7"/>
      <c r="D19" s="73" t="s">
        <v>33</v>
      </c>
      <c r="E19" s="73"/>
      <c r="F19" s="115"/>
      <c r="G19" s="5">
        <v>0.33333333333333331</v>
      </c>
      <c r="H19" s="6">
        <v>0.48958333333333331</v>
      </c>
      <c r="I19" s="4">
        <f t="shared" si="0"/>
        <v>0.15625</v>
      </c>
      <c r="J19" s="113">
        <v>44878</v>
      </c>
      <c r="K19" s="114"/>
      <c r="L19" s="7"/>
      <c r="M19" s="73" t="s">
        <v>34</v>
      </c>
      <c r="N19" s="73"/>
      <c r="O19" s="115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113" t="s">
        <v>35</v>
      </c>
      <c r="B20" s="114"/>
      <c r="C20" s="7"/>
      <c r="D20" s="73" t="s">
        <v>36</v>
      </c>
      <c r="E20" s="73"/>
      <c r="F20" s="115"/>
      <c r="G20" s="5">
        <v>0.41666666666666669</v>
      </c>
      <c r="H20" s="6">
        <v>0.5</v>
      </c>
      <c r="I20" s="4">
        <f t="shared" si="0"/>
        <v>8.3333333333333315E-2</v>
      </c>
      <c r="J20" s="113">
        <v>44879</v>
      </c>
      <c r="K20" s="114"/>
      <c r="L20" s="7"/>
      <c r="M20" s="73" t="s">
        <v>37</v>
      </c>
      <c r="N20" s="73"/>
      <c r="O20" s="115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113" t="s">
        <v>39</v>
      </c>
      <c r="B21" s="114"/>
      <c r="C21" s="7"/>
      <c r="D21" s="73" t="s">
        <v>40</v>
      </c>
      <c r="E21" s="73"/>
      <c r="F21" s="115"/>
      <c r="G21" s="5">
        <v>0.36805555555555558</v>
      </c>
      <c r="H21" s="6">
        <v>0.44722222222222219</v>
      </c>
      <c r="I21" s="4">
        <f t="shared" si="0"/>
        <v>7.9166666666666607E-2</v>
      </c>
      <c r="J21" s="113"/>
      <c r="K21" s="114"/>
      <c r="L21" s="7"/>
      <c r="M21" s="114"/>
      <c r="N21" s="114"/>
      <c r="O21" s="121"/>
      <c r="P21" s="5"/>
      <c r="Q21" s="6"/>
      <c r="R21" s="4">
        <f t="shared" si="1"/>
        <v>0</v>
      </c>
    </row>
    <row r="22" spans="1:18" x14ac:dyDescent="0.2">
      <c r="A22" s="113" t="s">
        <v>39</v>
      </c>
      <c r="B22" s="114"/>
      <c r="C22" s="7"/>
      <c r="D22" s="114" t="s">
        <v>47</v>
      </c>
      <c r="E22" s="114"/>
      <c r="F22" s="121"/>
      <c r="G22" s="5">
        <v>0.45833333333333331</v>
      </c>
      <c r="H22" s="6">
        <v>0.47916666666666669</v>
      </c>
      <c r="I22" s="4">
        <f t="shared" si="0"/>
        <v>2.083333333333337E-2</v>
      </c>
      <c r="J22" s="113"/>
      <c r="K22" s="114"/>
      <c r="L22" s="7"/>
      <c r="M22" s="114"/>
      <c r="N22" s="114"/>
      <c r="O22" s="121"/>
      <c r="P22" s="5"/>
      <c r="Q22" s="6"/>
      <c r="R22" s="4">
        <f t="shared" si="1"/>
        <v>0</v>
      </c>
    </row>
    <row r="23" spans="1:18" x14ac:dyDescent="0.2">
      <c r="A23" s="113"/>
      <c r="B23" s="114"/>
      <c r="C23" s="7"/>
      <c r="D23" s="114"/>
      <c r="E23" s="114"/>
      <c r="F23" s="121"/>
      <c r="G23" s="5"/>
      <c r="H23" s="6"/>
      <c r="I23" s="4">
        <f t="shared" si="0"/>
        <v>0</v>
      </c>
      <c r="J23" s="113"/>
      <c r="K23" s="114"/>
      <c r="L23" s="7"/>
      <c r="M23" s="114"/>
      <c r="N23" s="114"/>
      <c r="O23" s="121"/>
      <c r="P23" s="5"/>
      <c r="Q23" s="6"/>
      <c r="R23" s="4">
        <f t="shared" si="1"/>
        <v>0</v>
      </c>
    </row>
    <row r="24" spans="1:18" x14ac:dyDescent="0.2">
      <c r="A24" s="113"/>
      <c r="B24" s="114"/>
      <c r="C24" s="7"/>
      <c r="D24" s="114"/>
      <c r="E24" s="114"/>
      <c r="F24" s="121"/>
      <c r="G24" s="5"/>
      <c r="H24" s="6"/>
      <c r="I24" s="4">
        <f t="shared" si="0"/>
        <v>0</v>
      </c>
      <c r="J24" s="113"/>
      <c r="K24" s="114"/>
      <c r="L24" s="7"/>
      <c r="M24" s="114"/>
      <c r="N24" s="114"/>
      <c r="O24" s="121"/>
      <c r="P24" s="5"/>
      <c r="Q24" s="6"/>
      <c r="R24" s="4">
        <f t="shared" si="1"/>
        <v>0</v>
      </c>
    </row>
    <row r="25" spans="1:18" x14ac:dyDescent="0.2">
      <c r="A25" s="113"/>
      <c r="B25" s="114"/>
      <c r="C25" s="7"/>
      <c r="D25" s="114"/>
      <c r="E25" s="114"/>
      <c r="F25" s="121"/>
      <c r="G25" s="5"/>
      <c r="H25" s="6"/>
      <c r="I25" s="4">
        <f t="shared" si="0"/>
        <v>0</v>
      </c>
      <c r="J25" s="113"/>
      <c r="K25" s="114"/>
      <c r="L25" s="7"/>
      <c r="M25" s="114"/>
      <c r="N25" s="114"/>
      <c r="O25" s="121"/>
      <c r="P25" s="5"/>
      <c r="Q25" s="6"/>
      <c r="R25" s="4">
        <f t="shared" si="1"/>
        <v>0</v>
      </c>
    </row>
    <row r="26" spans="1:18" x14ac:dyDescent="0.2">
      <c r="A26" s="122"/>
      <c r="B26" s="114"/>
      <c r="C26" s="7"/>
      <c r="D26" s="114"/>
      <c r="E26" s="114"/>
      <c r="F26" s="121"/>
      <c r="G26" s="7"/>
      <c r="H26" s="8"/>
      <c r="I26" s="4">
        <f t="shared" si="0"/>
        <v>0</v>
      </c>
      <c r="J26" s="113"/>
      <c r="K26" s="114"/>
      <c r="L26" s="7"/>
      <c r="M26" s="114"/>
      <c r="N26" s="114"/>
      <c r="O26" s="121"/>
      <c r="P26" s="5"/>
      <c r="Q26" s="6"/>
      <c r="R26" s="4">
        <f t="shared" si="1"/>
        <v>0</v>
      </c>
    </row>
    <row r="27" spans="1:18" x14ac:dyDescent="0.2">
      <c r="A27" s="122"/>
      <c r="B27" s="114"/>
      <c r="C27" s="7"/>
      <c r="D27" s="114"/>
      <c r="E27" s="114"/>
      <c r="F27" s="121"/>
      <c r="G27" s="7"/>
      <c r="H27" s="8"/>
      <c r="I27" s="4">
        <f t="shared" si="0"/>
        <v>0</v>
      </c>
      <c r="J27" s="122"/>
      <c r="K27" s="114"/>
      <c r="L27" s="7"/>
      <c r="M27" s="114"/>
      <c r="N27" s="114"/>
      <c r="O27" s="121"/>
      <c r="P27" s="7"/>
      <c r="Q27" s="8"/>
      <c r="R27" s="4">
        <f t="shared" si="1"/>
        <v>0</v>
      </c>
    </row>
    <row r="28" spans="1:18" x14ac:dyDescent="0.2">
      <c r="A28" s="122"/>
      <c r="B28" s="114"/>
      <c r="C28" s="7"/>
      <c r="D28" s="114"/>
      <c r="E28" s="114"/>
      <c r="F28" s="121"/>
      <c r="G28" s="7"/>
      <c r="H28" s="8"/>
      <c r="I28" s="4">
        <f t="shared" si="0"/>
        <v>0</v>
      </c>
      <c r="J28" s="122"/>
      <c r="K28" s="114"/>
      <c r="L28" s="7"/>
      <c r="M28" s="114"/>
      <c r="N28" s="114"/>
      <c r="O28" s="121"/>
      <c r="P28" s="7"/>
      <c r="Q28" s="8"/>
      <c r="R28" s="4">
        <f t="shared" si="1"/>
        <v>0</v>
      </c>
    </row>
    <row r="29" spans="1:18" x14ac:dyDescent="0.2">
      <c r="A29" s="122"/>
      <c r="B29" s="114"/>
      <c r="C29" s="7"/>
      <c r="D29" s="114"/>
      <c r="E29" s="114"/>
      <c r="F29" s="121"/>
      <c r="G29" s="7"/>
      <c r="H29" s="8"/>
      <c r="I29" s="4">
        <f t="shared" si="0"/>
        <v>0</v>
      </c>
      <c r="J29" s="122"/>
      <c r="K29" s="114"/>
      <c r="L29" s="7"/>
      <c r="M29" s="114"/>
      <c r="N29" s="114"/>
      <c r="O29" s="121"/>
      <c r="P29" s="7"/>
      <c r="Q29" s="8"/>
      <c r="R29" s="4">
        <f t="shared" si="1"/>
        <v>0</v>
      </c>
    </row>
    <row r="30" spans="1:18" x14ac:dyDescent="0.2">
      <c r="A30" s="122"/>
      <c r="B30" s="114"/>
      <c r="C30" s="7"/>
      <c r="D30" s="114"/>
      <c r="E30" s="114"/>
      <c r="F30" s="121"/>
      <c r="G30" s="7"/>
      <c r="H30" s="8"/>
      <c r="I30" s="4">
        <f t="shared" si="0"/>
        <v>0</v>
      </c>
      <c r="J30" s="122"/>
      <c r="K30" s="114"/>
      <c r="L30" s="7"/>
      <c r="M30" s="114"/>
      <c r="N30" s="114"/>
      <c r="O30" s="121"/>
      <c r="P30" s="7"/>
      <c r="Q30" s="8"/>
      <c r="R30" s="4">
        <f t="shared" si="1"/>
        <v>0</v>
      </c>
    </row>
    <row r="31" spans="1:18" x14ac:dyDescent="0.2">
      <c r="A31" s="122"/>
      <c r="B31" s="114"/>
      <c r="C31" s="7"/>
      <c r="D31" s="114"/>
      <c r="E31" s="114"/>
      <c r="F31" s="121"/>
      <c r="G31" s="7"/>
      <c r="H31" s="8"/>
      <c r="I31" s="4">
        <f t="shared" si="0"/>
        <v>0</v>
      </c>
      <c r="J31" s="122"/>
      <c r="K31" s="114"/>
      <c r="L31" s="7"/>
      <c r="M31" s="114"/>
      <c r="N31" s="114"/>
      <c r="O31" s="121"/>
      <c r="P31" s="7"/>
      <c r="Q31" s="8"/>
      <c r="R31" s="4">
        <f t="shared" si="1"/>
        <v>0</v>
      </c>
    </row>
    <row r="32" spans="1:18" x14ac:dyDescent="0.2">
      <c r="A32" s="122"/>
      <c r="B32" s="114"/>
      <c r="C32" s="7"/>
      <c r="D32" s="114"/>
      <c r="E32" s="114"/>
      <c r="F32" s="121"/>
      <c r="G32" s="7"/>
      <c r="H32" s="8"/>
      <c r="I32" s="4">
        <f t="shared" si="0"/>
        <v>0</v>
      </c>
      <c r="J32" s="122"/>
      <c r="K32" s="114"/>
      <c r="L32" s="7"/>
      <c r="M32" s="114"/>
      <c r="N32" s="114"/>
      <c r="O32" s="121"/>
      <c r="P32" s="7"/>
      <c r="Q32" s="8"/>
      <c r="R32" s="4">
        <f t="shared" si="1"/>
        <v>0</v>
      </c>
    </row>
    <row r="33" spans="1:18" x14ac:dyDescent="0.2">
      <c r="A33" s="122"/>
      <c r="B33" s="114"/>
      <c r="C33" s="7"/>
      <c r="D33" s="114"/>
      <c r="E33" s="114"/>
      <c r="F33" s="121"/>
      <c r="G33" s="7"/>
      <c r="H33" s="8"/>
      <c r="I33" s="4">
        <f t="shared" si="0"/>
        <v>0</v>
      </c>
      <c r="J33" s="122"/>
      <c r="K33" s="114"/>
      <c r="L33" s="7"/>
      <c r="M33" s="114"/>
      <c r="N33" s="114"/>
      <c r="O33" s="121"/>
      <c r="P33" s="7"/>
      <c r="Q33" s="8"/>
      <c r="R33" s="4">
        <f t="shared" si="1"/>
        <v>0</v>
      </c>
    </row>
    <row r="34" spans="1:18" x14ac:dyDescent="0.2">
      <c r="A34" s="122"/>
      <c r="B34" s="114"/>
      <c r="C34" s="7"/>
      <c r="D34" s="114"/>
      <c r="E34" s="114"/>
      <c r="F34" s="121"/>
      <c r="G34" s="7"/>
      <c r="H34" s="8"/>
      <c r="I34" s="4">
        <f t="shared" si="0"/>
        <v>0</v>
      </c>
      <c r="J34" s="122"/>
      <c r="K34" s="114"/>
      <c r="L34" s="7"/>
      <c r="M34" s="114"/>
      <c r="N34" s="114"/>
      <c r="O34" s="121"/>
      <c r="P34" s="7"/>
      <c r="Q34" s="8"/>
      <c r="R34" s="4">
        <f t="shared" si="1"/>
        <v>0</v>
      </c>
    </row>
    <row r="35" spans="1:18" x14ac:dyDescent="0.2">
      <c r="A35" s="122"/>
      <c r="B35" s="114"/>
      <c r="C35" s="7"/>
      <c r="D35" s="114"/>
      <c r="E35" s="114"/>
      <c r="F35" s="121"/>
      <c r="G35" s="7"/>
      <c r="H35" s="8"/>
      <c r="I35" s="4">
        <f t="shared" si="0"/>
        <v>0</v>
      </c>
      <c r="J35" s="122"/>
      <c r="K35" s="114"/>
      <c r="L35" s="7"/>
      <c r="M35" s="114"/>
      <c r="N35" s="114"/>
      <c r="O35" s="121"/>
      <c r="P35" s="7"/>
      <c r="Q35" s="8"/>
      <c r="R35" s="4">
        <f t="shared" si="1"/>
        <v>0</v>
      </c>
    </row>
    <row r="36" spans="1:18" x14ac:dyDescent="0.2">
      <c r="A36" s="122"/>
      <c r="B36" s="114"/>
      <c r="C36" s="7"/>
      <c r="D36" s="114"/>
      <c r="E36" s="114"/>
      <c r="F36" s="121"/>
      <c r="G36" s="7"/>
      <c r="H36" s="8"/>
      <c r="I36" s="4">
        <f t="shared" si="0"/>
        <v>0</v>
      </c>
      <c r="J36" s="122"/>
      <c r="K36" s="114"/>
      <c r="L36" s="7"/>
      <c r="M36" s="114"/>
      <c r="N36" s="114"/>
      <c r="O36" s="121"/>
      <c r="P36" s="7"/>
      <c r="Q36" s="8"/>
      <c r="R36" s="4">
        <f t="shared" si="1"/>
        <v>0</v>
      </c>
    </row>
    <row r="37" spans="1:18" x14ac:dyDescent="0.2">
      <c r="A37" s="122"/>
      <c r="B37" s="114"/>
      <c r="C37" s="7"/>
      <c r="D37" s="114"/>
      <c r="E37" s="114"/>
      <c r="F37" s="121"/>
      <c r="G37" s="7"/>
      <c r="H37" s="8"/>
      <c r="I37" s="4">
        <f t="shared" si="0"/>
        <v>0</v>
      </c>
      <c r="J37" s="122"/>
      <c r="K37" s="114"/>
      <c r="L37" s="7"/>
      <c r="M37" s="114"/>
      <c r="N37" s="114"/>
      <c r="O37" s="121"/>
      <c r="P37" s="7"/>
      <c r="Q37" s="8"/>
      <c r="R37" s="4">
        <f t="shared" si="1"/>
        <v>0</v>
      </c>
    </row>
    <row r="38" spans="1:18" x14ac:dyDescent="0.2">
      <c r="A38" s="122"/>
      <c r="B38" s="114"/>
      <c r="C38" s="7"/>
      <c r="D38" s="114"/>
      <c r="E38" s="114"/>
      <c r="F38" s="121"/>
      <c r="G38" s="7"/>
      <c r="H38" s="8"/>
      <c r="I38" s="4">
        <f t="shared" si="0"/>
        <v>0</v>
      </c>
      <c r="J38" s="122"/>
      <c r="K38" s="114"/>
      <c r="L38" s="7"/>
      <c r="M38" s="114"/>
      <c r="N38" s="114"/>
      <c r="O38" s="121"/>
      <c r="P38" s="7"/>
      <c r="Q38" s="8"/>
      <c r="R38" s="4">
        <f t="shared" si="1"/>
        <v>0</v>
      </c>
    </row>
    <row r="39" spans="1:18" x14ac:dyDescent="0.2">
      <c r="A39" s="122"/>
      <c r="B39" s="114"/>
      <c r="C39" s="7"/>
      <c r="D39" s="114"/>
      <c r="E39" s="114"/>
      <c r="F39" s="121"/>
      <c r="G39" s="7"/>
      <c r="H39" s="8"/>
      <c r="I39" s="4">
        <f t="shared" si="0"/>
        <v>0</v>
      </c>
      <c r="J39" s="122"/>
      <c r="K39" s="114"/>
      <c r="L39" s="7"/>
      <c r="M39" s="114"/>
      <c r="N39" s="114"/>
      <c r="O39" s="121"/>
      <c r="P39" s="7"/>
      <c r="Q39" s="8"/>
      <c r="R39" s="4">
        <f t="shared" si="1"/>
        <v>0</v>
      </c>
    </row>
    <row r="40" spans="1:18" x14ac:dyDescent="0.2">
      <c r="A40" s="123"/>
      <c r="B40" s="124"/>
      <c r="C40" s="7"/>
      <c r="D40" s="114"/>
      <c r="E40" s="114"/>
      <c r="F40" s="121"/>
      <c r="G40" s="9"/>
      <c r="H40" s="1"/>
      <c r="I40" s="4">
        <f>H40-G40</f>
        <v>0</v>
      </c>
      <c r="J40" s="122"/>
      <c r="K40" s="114"/>
      <c r="L40" s="7"/>
      <c r="M40" s="114"/>
      <c r="N40" s="114"/>
      <c r="O40" s="121"/>
      <c r="P40" s="7"/>
      <c r="Q40" s="8"/>
      <c r="R40" s="4">
        <f t="shared" si="1"/>
        <v>0</v>
      </c>
    </row>
    <row r="41" spans="1:18" x14ac:dyDescent="0.2">
      <c r="A41" s="122"/>
      <c r="B41" s="114"/>
      <c r="C41" s="7"/>
      <c r="D41" s="114"/>
      <c r="E41" s="114"/>
      <c r="F41" s="121"/>
      <c r="G41" s="7"/>
      <c r="H41" s="8"/>
      <c r="I41" s="4">
        <f t="shared" si="0"/>
        <v>0</v>
      </c>
      <c r="J41" s="123"/>
      <c r="K41" s="124"/>
      <c r="L41" s="7"/>
      <c r="M41" s="114"/>
      <c r="N41" s="114"/>
      <c r="O41" s="121"/>
      <c r="P41" s="9"/>
      <c r="Q41" s="1"/>
      <c r="R41" s="4">
        <f>Q41-P41</f>
        <v>0</v>
      </c>
    </row>
    <row r="42" spans="1:18" x14ac:dyDescent="0.2">
      <c r="A42" s="122"/>
      <c r="B42" s="114"/>
      <c r="C42" s="7"/>
      <c r="D42" s="114"/>
      <c r="E42" s="114"/>
      <c r="F42" s="121"/>
      <c r="G42" s="7"/>
      <c r="H42" s="8"/>
      <c r="I42" s="4">
        <f t="shared" si="0"/>
        <v>0</v>
      </c>
      <c r="J42" s="122"/>
      <c r="K42" s="114"/>
      <c r="L42" s="7"/>
      <c r="M42" s="114"/>
      <c r="N42" s="114"/>
      <c r="O42" s="121"/>
      <c r="P42" s="7"/>
      <c r="Q42" s="8"/>
      <c r="R42" s="4">
        <f t="shared" ref="R42:R49" si="2">Q42-P42</f>
        <v>0</v>
      </c>
    </row>
    <row r="43" spans="1:18" x14ac:dyDescent="0.2">
      <c r="A43" s="122"/>
      <c r="B43" s="114"/>
      <c r="C43" s="7"/>
      <c r="D43" s="114"/>
      <c r="E43" s="114"/>
      <c r="F43" s="121"/>
      <c r="G43" s="7"/>
      <c r="H43" s="8"/>
      <c r="I43" s="4">
        <f t="shared" si="0"/>
        <v>0</v>
      </c>
      <c r="J43" s="122"/>
      <c r="K43" s="114"/>
      <c r="L43" s="7"/>
      <c r="M43" s="114"/>
      <c r="N43" s="114"/>
      <c r="O43" s="121"/>
      <c r="P43" s="7"/>
      <c r="Q43" s="8"/>
      <c r="R43" s="4">
        <f t="shared" si="2"/>
        <v>0</v>
      </c>
    </row>
    <row r="44" spans="1:18" x14ac:dyDescent="0.2">
      <c r="A44" s="122"/>
      <c r="B44" s="114"/>
      <c r="C44" s="7"/>
      <c r="D44" s="114"/>
      <c r="E44" s="114"/>
      <c r="F44" s="121"/>
      <c r="G44" s="7"/>
      <c r="H44" s="8"/>
      <c r="I44" s="4">
        <f t="shared" si="0"/>
        <v>0</v>
      </c>
      <c r="J44" s="122"/>
      <c r="K44" s="114"/>
      <c r="L44" s="7"/>
      <c r="M44" s="114"/>
      <c r="N44" s="114"/>
      <c r="O44" s="121"/>
      <c r="P44" s="7"/>
      <c r="Q44" s="8"/>
      <c r="R44" s="4">
        <f t="shared" si="2"/>
        <v>0</v>
      </c>
    </row>
    <row r="45" spans="1:18" x14ac:dyDescent="0.2">
      <c r="A45" s="122"/>
      <c r="B45" s="114"/>
      <c r="C45" s="7"/>
      <c r="D45" s="114"/>
      <c r="E45" s="114"/>
      <c r="F45" s="121"/>
      <c r="G45" s="7"/>
      <c r="H45" s="8"/>
      <c r="I45" s="4">
        <f t="shared" si="0"/>
        <v>0</v>
      </c>
      <c r="J45" s="122"/>
      <c r="K45" s="114"/>
      <c r="L45" s="7"/>
      <c r="M45" s="114"/>
      <c r="N45" s="114"/>
      <c r="O45" s="121"/>
      <c r="P45" s="7"/>
      <c r="Q45" s="8"/>
      <c r="R45" s="4">
        <f t="shared" si="2"/>
        <v>0</v>
      </c>
    </row>
    <row r="46" spans="1:18" x14ac:dyDescent="0.2">
      <c r="A46" s="122"/>
      <c r="B46" s="114"/>
      <c r="C46" s="7"/>
      <c r="D46" s="114"/>
      <c r="E46" s="114"/>
      <c r="F46" s="121"/>
      <c r="G46" s="7"/>
      <c r="H46" s="8"/>
      <c r="I46" s="4">
        <f t="shared" si="0"/>
        <v>0</v>
      </c>
      <c r="J46" s="122"/>
      <c r="K46" s="114"/>
      <c r="L46" s="7"/>
      <c r="M46" s="114"/>
      <c r="N46" s="114"/>
      <c r="O46" s="121"/>
      <c r="P46" s="7"/>
      <c r="Q46" s="8"/>
      <c r="R46" s="4">
        <f t="shared" si="2"/>
        <v>0</v>
      </c>
    </row>
    <row r="47" spans="1:18" x14ac:dyDescent="0.2">
      <c r="A47" s="122"/>
      <c r="B47" s="114"/>
      <c r="C47" s="7"/>
      <c r="D47" s="114"/>
      <c r="E47" s="114"/>
      <c r="F47" s="121"/>
      <c r="G47" s="7"/>
      <c r="H47" s="8"/>
      <c r="I47" s="4">
        <f t="shared" si="0"/>
        <v>0</v>
      </c>
      <c r="J47" s="122"/>
      <c r="K47" s="114"/>
      <c r="L47" s="7"/>
      <c r="M47" s="114"/>
      <c r="N47" s="114"/>
      <c r="O47" s="121"/>
      <c r="P47" s="7"/>
      <c r="Q47" s="8"/>
      <c r="R47" s="4">
        <f t="shared" si="2"/>
        <v>0</v>
      </c>
    </row>
    <row r="48" spans="1:18" x14ac:dyDescent="0.2">
      <c r="A48" s="122"/>
      <c r="B48" s="114"/>
      <c r="C48" s="7"/>
      <c r="D48" s="114"/>
      <c r="E48" s="114"/>
      <c r="F48" s="121"/>
      <c r="G48" s="7"/>
      <c r="H48" s="8"/>
      <c r="I48" s="4">
        <f t="shared" si="0"/>
        <v>0</v>
      </c>
      <c r="J48" s="122"/>
      <c r="K48" s="114"/>
      <c r="L48" s="7"/>
      <c r="M48" s="114"/>
      <c r="N48" s="114"/>
      <c r="O48" s="121"/>
      <c r="P48" s="7"/>
      <c r="Q48" s="8"/>
      <c r="R48" s="4">
        <f t="shared" si="2"/>
        <v>0</v>
      </c>
    </row>
    <row r="49" spans="1:18" ht="16" thickBot="1" x14ac:dyDescent="0.25">
      <c r="A49" s="79"/>
      <c r="B49" s="80"/>
      <c r="C49" s="10"/>
      <c r="D49" s="114"/>
      <c r="E49" s="114"/>
      <c r="F49" s="121"/>
      <c r="G49" s="10"/>
      <c r="H49" s="11"/>
      <c r="I49" s="12">
        <f t="shared" si="0"/>
        <v>0</v>
      </c>
      <c r="J49" s="122"/>
      <c r="K49" s="114"/>
      <c r="L49" s="10"/>
      <c r="M49" s="114"/>
      <c r="N49" s="114"/>
      <c r="O49" s="121"/>
      <c r="P49" s="7"/>
      <c r="Q49" s="8"/>
      <c r="R49" s="4">
        <f t="shared" si="2"/>
        <v>0</v>
      </c>
    </row>
    <row r="50" spans="1:18" ht="16" thickBot="1" x14ac:dyDescent="0.25">
      <c r="A50" s="125"/>
      <c r="B50" s="126"/>
      <c r="C50" s="16"/>
      <c r="D50" s="127"/>
      <c r="E50" s="127"/>
      <c r="F50" s="126"/>
      <c r="G50" s="128" t="s">
        <v>38</v>
      </c>
      <c r="H50" s="126"/>
      <c r="I50" s="13">
        <f>SUM(I12:I49)</f>
        <v>0.87777777777777743</v>
      </c>
      <c r="J50" s="125"/>
      <c r="K50" s="126"/>
      <c r="L50" s="16"/>
      <c r="M50" s="127"/>
      <c r="N50" s="127"/>
      <c r="O50" s="126"/>
      <c r="P50" s="128" t="s">
        <v>38</v>
      </c>
      <c r="Q50" s="126"/>
      <c r="R50" s="13">
        <f>SUM(R12:R49)</f>
        <v>0.68888888888888866</v>
      </c>
    </row>
    <row r="51" spans="1:18" ht="16" thickTop="1" x14ac:dyDescent="0.2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82" t="s">
        <v>48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2" t="s">
        <v>46</v>
      </c>
      <c r="T1" s="83"/>
      <c r="U1" s="83"/>
      <c r="V1" s="83"/>
      <c r="W1" s="83"/>
    </row>
    <row r="2" spans="1:23" ht="16" thickBot="1" x14ac:dyDescent="0.2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3"/>
      <c r="T2" s="83"/>
      <c r="U2" s="83"/>
      <c r="V2" s="83"/>
      <c r="W2" s="83"/>
    </row>
    <row r="3" spans="1:23" ht="16" thickTop="1" x14ac:dyDescent="0.2">
      <c r="A3" s="85" t="s">
        <v>6</v>
      </c>
      <c r="B3" s="86"/>
      <c r="C3" s="87" t="s">
        <v>49</v>
      </c>
      <c r="D3" s="88"/>
      <c r="E3" s="88"/>
      <c r="F3" s="88"/>
      <c r="G3" s="88"/>
      <c r="H3" s="88"/>
      <c r="I3" s="89"/>
      <c r="J3" s="85" t="s">
        <v>6</v>
      </c>
      <c r="K3" s="86"/>
      <c r="L3" s="87" t="s">
        <v>49</v>
      </c>
      <c r="M3" s="88"/>
      <c r="N3" s="88"/>
      <c r="O3" s="88"/>
      <c r="P3" s="88"/>
      <c r="Q3" s="88"/>
      <c r="R3" s="89"/>
      <c r="S3" s="90"/>
      <c r="T3" s="83"/>
      <c r="U3" s="83"/>
      <c r="V3" s="83"/>
      <c r="W3" s="83"/>
    </row>
    <row r="4" spans="1:23" x14ac:dyDescent="0.2">
      <c r="A4" s="91" t="s">
        <v>7</v>
      </c>
      <c r="B4" s="92"/>
      <c r="C4" s="73" t="s">
        <v>44</v>
      </c>
      <c r="D4" s="73"/>
      <c r="E4" s="73"/>
      <c r="F4" s="73"/>
      <c r="G4" s="73"/>
      <c r="H4" s="73"/>
      <c r="I4" s="74"/>
      <c r="J4" s="91" t="s">
        <v>7</v>
      </c>
      <c r="K4" s="92"/>
      <c r="L4" s="73" t="s">
        <v>44</v>
      </c>
      <c r="M4" s="73"/>
      <c r="N4" s="73"/>
      <c r="O4" s="73"/>
      <c r="P4" s="73"/>
      <c r="Q4" s="73"/>
      <c r="R4" s="74"/>
      <c r="S4" s="90"/>
      <c r="T4" s="83"/>
      <c r="U4" s="83"/>
      <c r="V4" s="83"/>
      <c r="W4" s="83"/>
    </row>
    <row r="5" spans="1:23" x14ac:dyDescent="0.2">
      <c r="A5" s="75" t="s">
        <v>2</v>
      </c>
      <c r="B5" s="76"/>
      <c r="C5" s="77" t="s">
        <v>3</v>
      </c>
      <c r="D5" s="77"/>
      <c r="E5" s="77"/>
      <c r="F5" s="77"/>
      <c r="G5" s="77"/>
      <c r="H5" s="77"/>
      <c r="I5" s="78"/>
      <c r="J5" s="75" t="s">
        <v>2</v>
      </c>
      <c r="K5" s="76"/>
      <c r="L5" s="77" t="s">
        <v>5</v>
      </c>
      <c r="M5" s="77"/>
      <c r="N5" s="77"/>
      <c r="O5" s="77"/>
      <c r="P5" s="77"/>
      <c r="Q5" s="77"/>
      <c r="R5" s="78"/>
      <c r="S5" s="90"/>
      <c r="T5" s="83"/>
      <c r="U5" s="83"/>
      <c r="V5" s="83"/>
      <c r="W5" s="83"/>
    </row>
    <row r="6" spans="1:23" ht="16" thickBot="1" x14ac:dyDescent="0.25">
      <c r="A6" s="79"/>
      <c r="B6" s="80"/>
      <c r="C6" s="80"/>
      <c r="D6" s="80"/>
      <c r="E6" s="80"/>
      <c r="F6" s="80"/>
      <c r="G6" s="80"/>
      <c r="H6" s="80"/>
      <c r="I6" s="81"/>
      <c r="J6" s="79"/>
      <c r="K6" s="80"/>
      <c r="L6" s="80"/>
      <c r="M6" s="80"/>
      <c r="N6" s="80"/>
      <c r="O6" s="80"/>
      <c r="P6" s="80"/>
      <c r="Q6" s="80"/>
      <c r="R6" s="81"/>
      <c r="S6" s="90"/>
      <c r="T6" s="83"/>
      <c r="U6" s="83"/>
      <c r="V6" s="83"/>
      <c r="W6" s="83"/>
    </row>
    <row r="7" spans="1:23" ht="16" thickBot="1" x14ac:dyDescent="0.25">
      <c r="A7" s="104" t="s">
        <v>8</v>
      </c>
      <c r="B7" s="105"/>
      <c r="C7" s="110" t="s">
        <v>43</v>
      </c>
      <c r="D7" s="93" t="s">
        <v>9</v>
      </c>
      <c r="E7" s="93"/>
      <c r="F7" s="94"/>
      <c r="G7" s="36" t="s">
        <v>10</v>
      </c>
      <c r="H7" s="37"/>
      <c r="I7" s="99"/>
      <c r="J7" s="104" t="s">
        <v>8</v>
      </c>
      <c r="K7" s="105"/>
      <c r="L7" s="110" t="s">
        <v>43</v>
      </c>
      <c r="M7" s="93" t="s">
        <v>9</v>
      </c>
      <c r="N7" s="93"/>
      <c r="O7" s="94"/>
      <c r="P7" s="36" t="s">
        <v>10</v>
      </c>
      <c r="Q7" s="37"/>
      <c r="R7" s="99"/>
      <c r="S7" s="90"/>
      <c r="T7" s="83"/>
      <c r="U7" s="83"/>
      <c r="V7" s="83"/>
      <c r="W7" s="83"/>
    </row>
    <row r="8" spans="1:23" ht="16" thickTop="1" x14ac:dyDescent="0.2">
      <c r="A8" s="106"/>
      <c r="B8" s="107"/>
      <c r="C8" s="111"/>
      <c r="D8" s="95"/>
      <c r="E8" s="95"/>
      <c r="F8" s="96"/>
      <c r="G8" s="100" t="s">
        <v>11</v>
      </c>
      <c r="H8" s="100" t="s">
        <v>12</v>
      </c>
      <c r="I8" s="102" t="s">
        <v>13</v>
      </c>
      <c r="J8" s="106"/>
      <c r="K8" s="107"/>
      <c r="L8" s="111"/>
      <c r="M8" s="95"/>
      <c r="N8" s="95"/>
      <c r="O8" s="96"/>
      <c r="P8" s="100" t="s">
        <v>11</v>
      </c>
      <c r="Q8" s="100" t="s">
        <v>12</v>
      </c>
      <c r="R8" s="102" t="s">
        <v>13</v>
      </c>
      <c r="S8" s="90"/>
      <c r="T8" s="83"/>
      <c r="U8" s="83"/>
      <c r="V8" s="83"/>
      <c r="W8" s="83"/>
    </row>
    <row r="9" spans="1:23" x14ac:dyDescent="0.2">
      <c r="A9" s="106"/>
      <c r="B9" s="107"/>
      <c r="C9" s="111"/>
      <c r="D9" s="95"/>
      <c r="E9" s="95"/>
      <c r="F9" s="96"/>
      <c r="G9" s="100"/>
      <c r="H9" s="100"/>
      <c r="I9" s="102"/>
      <c r="J9" s="106"/>
      <c r="K9" s="107"/>
      <c r="L9" s="111"/>
      <c r="M9" s="95"/>
      <c r="N9" s="95"/>
      <c r="O9" s="96"/>
      <c r="P9" s="100"/>
      <c r="Q9" s="100"/>
      <c r="R9" s="102"/>
      <c r="S9" s="90"/>
      <c r="T9" s="83"/>
      <c r="U9" s="83"/>
      <c r="V9" s="83"/>
      <c r="W9" s="83"/>
    </row>
    <row r="10" spans="1:23" x14ac:dyDescent="0.2">
      <c r="A10" s="106"/>
      <c r="B10" s="107"/>
      <c r="C10" s="111"/>
      <c r="D10" s="95"/>
      <c r="E10" s="95"/>
      <c r="F10" s="96"/>
      <c r="G10" s="100"/>
      <c r="H10" s="100"/>
      <c r="I10" s="102"/>
      <c r="J10" s="106"/>
      <c r="K10" s="107"/>
      <c r="L10" s="111"/>
      <c r="M10" s="95"/>
      <c r="N10" s="95"/>
      <c r="O10" s="96"/>
      <c r="P10" s="100"/>
      <c r="Q10" s="100"/>
      <c r="R10" s="102"/>
      <c r="S10" s="90"/>
      <c r="T10" s="83"/>
      <c r="U10" s="83"/>
      <c r="V10" s="83"/>
      <c r="W10" s="83"/>
    </row>
    <row r="11" spans="1:23" ht="16" thickBot="1" x14ac:dyDescent="0.25">
      <c r="A11" s="108"/>
      <c r="B11" s="109"/>
      <c r="C11" s="112"/>
      <c r="D11" s="97"/>
      <c r="E11" s="97"/>
      <c r="F11" s="98"/>
      <c r="G11" s="101"/>
      <c r="H11" s="101"/>
      <c r="I11" s="103"/>
      <c r="J11" s="108"/>
      <c r="K11" s="109"/>
      <c r="L11" s="112"/>
      <c r="M11" s="97"/>
      <c r="N11" s="97"/>
      <c r="O11" s="98"/>
      <c r="P11" s="101"/>
      <c r="Q11" s="101"/>
      <c r="R11" s="103"/>
      <c r="S11" s="90"/>
      <c r="T11" s="83"/>
      <c r="U11" s="83"/>
      <c r="V11" s="83"/>
      <c r="W11" s="83"/>
    </row>
    <row r="12" spans="1:23" x14ac:dyDescent="0.2">
      <c r="A12" s="116" t="s">
        <v>50</v>
      </c>
      <c r="B12" s="117"/>
      <c r="C12" s="14"/>
      <c r="D12" s="118" t="s">
        <v>51</v>
      </c>
      <c r="E12" s="118"/>
      <c r="F12" s="119"/>
      <c r="G12" s="2">
        <v>0.33333333333333331</v>
      </c>
      <c r="H12" s="3">
        <v>0.5</v>
      </c>
      <c r="I12" s="4">
        <f>H12-G12</f>
        <v>0.16666666666666669</v>
      </c>
      <c r="J12" s="113">
        <v>44881</v>
      </c>
      <c r="K12" s="114"/>
      <c r="L12" s="14"/>
      <c r="M12" s="129" t="s">
        <v>64</v>
      </c>
      <c r="N12" s="129"/>
      <c r="O12" s="130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2">
      <c r="A13" s="113">
        <v>44881</v>
      </c>
      <c r="B13" s="114"/>
      <c r="C13" s="7"/>
      <c r="D13" s="73" t="s">
        <v>52</v>
      </c>
      <c r="E13" s="73"/>
      <c r="F13" s="115"/>
      <c r="G13" s="5">
        <v>0.6166666666666667</v>
      </c>
      <c r="H13" s="6">
        <v>0.71597222222222223</v>
      </c>
      <c r="I13" s="20">
        <f>H13-G13</f>
        <v>9.9305555555555536E-2</v>
      </c>
      <c r="J13" s="113">
        <v>44891</v>
      </c>
      <c r="K13" s="121"/>
      <c r="M13" s="129" t="s">
        <v>66</v>
      </c>
      <c r="N13" s="129"/>
      <c r="O13" s="130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2">
      <c r="A14" s="113" t="s">
        <v>53</v>
      </c>
      <c r="B14" s="114"/>
      <c r="C14" s="7"/>
      <c r="D14" s="73" t="s">
        <v>54</v>
      </c>
      <c r="E14" s="73"/>
      <c r="F14" s="115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13">
        <v>44892</v>
      </c>
      <c r="K14" s="121"/>
      <c r="M14" s="129" t="s">
        <v>65</v>
      </c>
      <c r="N14" s="129"/>
      <c r="O14" s="130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113" t="s">
        <v>53</v>
      </c>
      <c r="B15" s="114"/>
      <c r="C15" s="7"/>
      <c r="D15" s="73" t="s">
        <v>55</v>
      </c>
      <c r="E15" s="73"/>
      <c r="F15" s="115"/>
      <c r="G15" s="5">
        <v>0.53611111111111109</v>
      </c>
      <c r="H15" s="6">
        <v>0.56597222222222221</v>
      </c>
      <c r="I15" s="4">
        <f t="shared" si="0"/>
        <v>2.9861111111111116E-2</v>
      </c>
      <c r="J15" s="113">
        <v>44893</v>
      </c>
      <c r="K15" s="121"/>
      <c r="L15" s="22"/>
      <c r="M15" s="129" t="s">
        <v>63</v>
      </c>
      <c r="N15" s="129"/>
      <c r="O15" s="130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113" t="s">
        <v>53</v>
      </c>
      <c r="B16" s="114"/>
      <c r="C16" s="7"/>
      <c r="D16" s="73" t="s">
        <v>56</v>
      </c>
      <c r="E16" s="73"/>
      <c r="F16" s="115"/>
      <c r="G16" s="5">
        <v>0.56944444444444442</v>
      </c>
      <c r="H16" s="6">
        <v>0.60902777777777783</v>
      </c>
      <c r="I16" s="4">
        <f t="shared" si="0"/>
        <v>3.9583333333333415E-2</v>
      </c>
      <c r="J16" s="113">
        <v>44893</v>
      </c>
      <c r="K16" s="121"/>
      <c r="L16" s="22"/>
      <c r="M16" s="129" t="s">
        <v>69</v>
      </c>
      <c r="N16" s="129"/>
      <c r="O16" s="130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113" t="s">
        <v>57</v>
      </c>
      <c r="B17" s="114"/>
      <c r="C17" s="7"/>
      <c r="D17" s="73" t="s">
        <v>58</v>
      </c>
      <c r="E17" s="73"/>
      <c r="F17" s="115"/>
      <c r="G17" s="5">
        <v>0.5</v>
      </c>
      <c r="H17" s="6">
        <v>0.53819444444444442</v>
      </c>
      <c r="I17" s="4">
        <f t="shared" si="0"/>
        <v>3.819444444444442E-2</v>
      </c>
      <c r="J17" s="113"/>
      <c r="K17" s="114"/>
      <c r="L17" s="7"/>
      <c r="M17" s="73"/>
      <c r="N17" s="73"/>
      <c r="O17" s="115"/>
      <c r="P17" s="5"/>
      <c r="Q17" s="6"/>
      <c r="R17" s="4">
        <f>Q17-P17</f>
        <v>0</v>
      </c>
    </row>
    <row r="18" spans="1:18" x14ac:dyDescent="0.2">
      <c r="A18" s="113" t="s">
        <v>59</v>
      </c>
      <c r="B18" s="114"/>
      <c r="C18" s="7"/>
      <c r="D18" s="73" t="s">
        <v>60</v>
      </c>
      <c r="E18" s="73"/>
      <c r="F18" s="115"/>
      <c r="G18" s="5">
        <v>0.58333333333333337</v>
      </c>
      <c r="H18" s="6">
        <v>0.66875000000000007</v>
      </c>
      <c r="I18" s="4">
        <f t="shared" si="0"/>
        <v>8.5416666666666696E-2</v>
      </c>
      <c r="J18" s="113"/>
      <c r="K18" s="114"/>
      <c r="L18" s="7"/>
      <c r="M18" s="73"/>
      <c r="N18" s="73"/>
      <c r="O18" s="115"/>
      <c r="P18" s="5"/>
      <c r="Q18" s="6"/>
      <c r="R18" s="4">
        <f t="shared" si="1"/>
        <v>0</v>
      </c>
    </row>
    <row r="19" spans="1:18" x14ac:dyDescent="0.2">
      <c r="A19" s="113" t="s">
        <v>61</v>
      </c>
      <c r="B19" s="114"/>
      <c r="C19" s="7"/>
      <c r="D19" s="73" t="s">
        <v>62</v>
      </c>
      <c r="E19" s="73"/>
      <c r="F19" s="115"/>
      <c r="G19" s="5">
        <v>0.41666666666666669</v>
      </c>
      <c r="H19" s="6">
        <v>0.55486111111111114</v>
      </c>
      <c r="I19" s="4">
        <f t="shared" si="0"/>
        <v>0.13819444444444445</v>
      </c>
      <c r="J19" s="113"/>
      <c r="K19" s="114"/>
      <c r="L19" s="7"/>
      <c r="M19" s="73"/>
      <c r="N19" s="73"/>
      <c r="O19" s="115"/>
      <c r="P19" s="5"/>
      <c r="Q19" s="6"/>
      <c r="R19" s="4">
        <f t="shared" si="1"/>
        <v>0</v>
      </c>
    </row>
    <row r="20" spans="1:18" x14ac:dyDescent="0.2">
      <c r="A20" s="113" t="s">
        <v>67</v>
      </c>
      <c r="B20" s="114"/>
      <c r="C20" s="7"/>
      <c r="D20" s="73" t="s">
        <v>68</v>
      </c>
      <c r="E20" s="73"/>
      <c r="F20" s="115"/>
      <c r="G20" s="5">
        <v>0.33333333333333331</v>
      </c>
      <c r="H20" s="6">
        <v>0.4375</v>
      </c>
      <c r="I20" s="4">
        <f t="shared" si="0"/>
        <v>0.10416666666666669</v>
      </c>
      <c r="J20" s="113"/>
      <c r="K20" s="114"/>
      <c r="L20" s="7"/>
      <c r="M20" s="73"/>
      <c r="N20" s="73"/>
      <c r="O20" s="115"/>
      <c r="P20" s="5"/>
      <c r="Q20" s="6"/>
      <c r="R20" s="4">
        <f>Q20-P20</f>
        <v>0</v>
      </c>
    </row>
    <row r="21" spans="1:18" x14ac:dyDescent="0.2">
      <c r="A21" s="113" t="s">
        <v>67</v>
      </c>
      <c r="B21" s="114"/>
      <c r="C21" s="7"/>
      <c r="D21" s="73" t="s">
        <v>70</v>
      </c>
      <c r="E21" s="73"/>
      <c r="F21" s="115"/>
      <c r="G21" s="5">
        <v>0.44791666666666669</v>
      </c>
      <c r="H21" s="6">
        <v>0.48958333333333331</v>
      </c>
      <c r="I21" s="4">
        <f t="shared" si="0"/>
        <v>4.166666666666663E-2</v>
      </c>
      <c r="J21" s="113"/>
      <c r="K21" s="114"/>
      <c r="L21" s="7"/>
      <c r="M21" s="73"/>
      <c r="N21" s="73"/>
      <c r="O21" s="115"/>
      <c r="P21" s="5"/>
      <c r="Q21" s="6"/>
      <c r="R21" s="4">
        <f t="shared" si="1"/>
        <v>0</v>
      </c>
    </row>
    <row r="22" spans="1:18" x14ac:dyDescent="0.2">
      <c r="A22" s="113"/>
      <c r="B22" s="114"/>
      <c r="C22" s="7"/>
      <c r="D22" s="114"/>
      <c r="E22" s="114"/>
      <c r="F22" s="121"/>
      <c r="G22" s="5"/>
      <c r="H22" s="6"/>
      <c r="I22" s="4">
        <f t="shared" si="0"/>
        <v>0</v>
      </c>
      <c r="J22" s="113"/>
      <c r="K22" s="114"/>
      <c r="L22" s="7"/>
      <c r="M22" s="114"/>
      <c r="N22" s="114"/>
      <c r="O22" s="121"/>
      <c r="P22" s="5"/>
      <c r="Q22" s="6"/>
      <c r="R22" s="4">
        <f t="shared" si="1"/>
        <v>0</v>
      </c>
    </row>
    <row r="23" spans="1:18" x14ac:dyDescent="0.2">
      <c r="A23" s="113"/>
      <c r="B23" s="114"/>
      <c r="C23" s="7"/>
      <c r="D23" s="114"/>
      <c r="E23" s="114"/>
      <c r="F23" s="121"/>
      <c r="G23" s="5"/>
      <c r="H23" s="6"/>
      <c r="I23" s="4">
        <f t="shared" si="0"/>
        <v>0</v>
      </c>
      <c r="J23" s="113"/>
      <c r="K23" s="114"/>
      <c r="L23" s="7"/>
      <c r="M23" s="114"/>
      <c r="N23" s="114"/>
      <c r="O23" s="121"/>
      <c r="P23" s="5"/>
      <c r="Q23" s="6"/>
      <c r="R23" s="4">
        <f t="shared" si="1"/>
        <v>0</v>
      </c>
    </row>
    <row r="24" spans="1:18" x14ac:dyDescent="0.2">
      <c r="A24" s="113"/>
      <c r="B24" s="114"/>
      <c r="C24" s="7"/>
      <c r="D24" s="114"/>
      <c r="E24" s="114"/>
      <c r="F24" s="121"/>
      <c r="G24" s="5"/>
      <c r="H24" s="6"/>
      <c r="I24" s="4">
        <f t="shared" si="0"/>
        <v>0</v>
      </c>
      <c r="J24" s="113"/>
      <c r="K24" s="114"/>
      <c r="L24" s="7"/>
      <c r="M24" s="114"/>
      <c r="N24" s="114"/>
      <c r="O24" s="121"/>
      <c r="P24" s="5"/>
      <c r="Q24" s="6"/>
      <c r="R24" s="4">
        <f t="shared" si="1"/>
        <v>0</v>
      </c>
    </row>
    <row r="25" spans="1:18" x14ac:dyDescent="0.2">
      <c r="A25" s="113"/>
      <c r="B25" s="114"/>
      <c r="C25" s="7"/>
      <c r="D25" s="114"/>
      <c r="E25" s="114"/>
      <c r="F25" s="121"/>
      <c r="G25" s="5"/>
      <c r="H25" s="6"/>
      <c r="I25" s="4">
        <f t="shared" si="0"/>
        <v>0</v>
      </c>
      <c r="J25" s="113"/>
      <c r="K25" s="114"/>
      <c r="L25" s="7"/>
      <c r="M25" s="114"/>
      <c r="N25" s="114"/>
      <c r="O25" s="121"/>
      <c r="P25" s="5"/>
      <c r="Q25" s="6"/>
      <c r="R25" s="4">
        <f t="shared" si="1"/>
        <v>0</v>
      </c>
    </row>
    <row r="26" spans="1:18" x14ac:dyDescent="0.2">
      <c r="A26" s="122"/>
      <c r="B26" s="114"/>
      <c r="C26" s="7"/>
      <c r="D26" s="114"/>
      <c r="E26" s="114"/>
      <c r="F26" s="121"/>
      <c r="G26" s="7"/>
      <c r="H26" s="8"/>
      <c r="I26" s="4">
        <f t="shared" si="0"/>
        <v>0</v>
      </c>
      <c r="J26" s="113"/>
      <c r="K26" s="114"/>
      <c r="L26" s="7"/>
      <c r="M26" s="114"/>
      <c r="N26" s="114"/>
      <c r="O26" s="121"/>
      <c r="P26" s="5"/>
      <c r="Q26" s="6"/>
      <c r="R26" s="4">
        <f t="shared" si="1"/>
        <v>0</v>
      </c>
    </row>
    <row r="27" spans="1:18" x14ac:dyDescent="0.2">
      <c r="A27" s="122"/>
      <c r="B27" s="114"/>
      <c r="C27" s="7"/>
      <c r="D27" s="114"/>
      <c r="E27" s="114"/>
      <c r="F27" s="121"/>
      <c r="G27" s="7"/>
      <c r="H27" s="8"/>
      <c r="I27" s="4">
        <f t="shared" si="0"/>
        <v>0</v>
      </c>
      <c r="J27" s="113"/>
      <c r="K27" s="114"/>
      <c r="L27" s="7"/>
      <c r="M27" s="114"/>
      <c r="N27" s="114"/>
      <c r="O27" s="121"/>
      <c r="P27" s="5"/>
      <c r="Q27" s="6"/>
      <c r="R27" s="4">
        <f t="shared" si="1"/>
        <v>0</v>
      </c>
    </row>
    <row r="28" spans="1:18" x14ac:dyDescent="0.2">
      <c r="A28" s="122"/>
      <c r="B28" s="114"/>
      <c r="C28" s="7"/>
      <c r="D28" s="114"/>
      <c r="E28" s="114"/>
      <c r="F28" s="121"/>
      <c r="G28" s="7"/>
      <c r="H28" s="8"/>
      <c r="I28" s="4">
        <f t="shared" si="0"/>
        <v>0</v>
      </c>
      <c r="J28" s="122"/>
      <c r="K28" s="114"/>
      <c r="L28" s="7"/>
      <c r="M28" s="114"/>
      <c r="N28" s="114"/>
      <c r="O28" s="121"/>
      <c r="P28" s="7"/>
      <c r="Q28" s="8"/>
      <c r="R28" s="4">
        <f t="shared" si="1"/>
        <v>0</v>
      </c>
    </row>
    <row r="29" spans="1:18" x14ac:dyDescent="0.2">
      <c r="A29" s="122"/>
      <c r="B29" s="114"/>
      <c r="C29" s="7"/>
      <c r="D29" s="114"/>
      <c r="E29" s="114"/>
      <c r="F29" s="121"/>
      <c r="G29" s="7"/>
      <c r="H29" s="8"/>
      <c r="I29" s="4">
        <f t="shared" si="0"/>
        <v>0</v>
      </c>
      <c r="J29" s="122"/>
      <c r="K29" s="114"/>
      <c r="L29" s="7"/>
      <c r="M29" s="114"/>
      <c r="N29" s="114"/>
      <c r="O29" s="121"/>
      <c r="P29" s="7"/>
      <c r="Q29" s="8"/>
      <c r="R29" s="4">
        <f t="shared" si="1"/>
        <v>0</v>
      </c>
    </row>
    <row r="30" spans="1:18" x14ac:dyDescent="0.2">
      <c r="A30" s="122"/>
      <c r="B30" s="114"/>
      <c r="C30" s="7"/>
      <c r="D30" s="114"/>
      <c r="E30" s="114"/>
      <c r="F30" s="121"/>
      <c r="G30" s="7"/>
      <c r="H30" s="8"/>
      <c r="I30" s="4">
        <f t="shared" si="0"/>
        <v>0</v>
      </c>
      <c r="J30" s="122"/>
      <c r="K30" s="114"/>
      <c r="L30" s="7"/>
      <c r="M30" s="114"/>
      <c r="N30" s="114"/>
      <c r="O30" s="121"/>
      <c r="P30" s="7"/>
      <c r="Q30" s="8"/>
      <c r="R30" s="4">
        <f t="shared" si="1"/>
        <v>0</v>
      </c>
    </row>
    <row r="31" spans="1:18" x14ac:dyDescent="0.2">
      <c r="A31" s="122"/>
      <c r="B31" s="114"/>
      <c r="C31" s="7"/>
      <c r="D31" s="114"/>
      <c r="E31" s="114"/>
      <c r="F31" s="121"/>
      <c r="G31" s="7"/>
      <c r="H31" s="8"/>
      <c r="I31" s="4">
        <f t="shared" si="0"/>
        <v>0</v>
      </c>
      <c r="J31" s="122"/>
      <c r="K31" s="114"/>
      <c r="L31" s="7"/>
      <c r="M31" s="114"/>
      <c r="N31" s="114"/>
      <c r="O31" s="121"/>
      <c r="P31" s="7"/>
      <c r="Q31" s="8"/>
      <c r="R31" s="4">
        <f t="shared" si="1"/>
        <v>0</v>
      </c>
    </row>
    <row r="32" spans="1:18" x14ac:dyDescent="0.2">
      <c r="A32" s="122"/>
      <c r="B32" s="114"/>
      <c r="C32" s="7"/>
      <c r="D32" s="114"/>
      <c r="E32" s="114"/>
      <c r="F32" s="121"/>
      <c r="G32" s="7"/>
      <c r="H32" s="8"/>
      <c r="I32" s="4">
        <f t="shared" si="0"/>
        <v>0</v>
      </c>
      <c r="J32" s="122"/>
      <c r="K32" s="114"/>
      <c r="L32" s="7"/>
      <c r="M32" s="114"/>
      <c r="N32" s="114"/>
      <c r="O32" s="121"/>
      <c r="P32" s="7"/>
      <c r="Q32" s="8"/>
      <c r="R32" s="4">
        <f t="shared" si="1"/>
        <v>0</v>
      </c>
    </row>
    <row r="33" spans="1:18" x14ac:dyDescent="0.2">
      <c r="A33" s="122"/>
      <c r="B33" s="114"/>
      <c r="C33" s="7"/>
      <c r="D33" s="114"/>
      <c r="E33" s="114"/>
      <c r="F33" s="121"/>
      <c r="G33" s="7"/>
      <c r="H33" s="8"/>
      <c r="I33" s="4">
        <f t="shared" si="0"/>
        <v>0</v>
      </c>
      <c r="J33" s="122"/>
      <c r="K33" s="114"/>
      <c r="L33" s="7"/>
      <c r="M33" s="114"/>
      <c r="N33" s="114"/>
      <c r="O33" s="121"/>
      <c r="P33" s="7"/>
      <c r="Q33" s="8"/>
      <c r="R33" s="4">
        <f t="shared" si="1"/>
        <v>0</v>
      </c>
    </row>
    <row r="34" spans="1:18" x14ac:dyDescent="0.2">
      <c r="A34" s="122"/>
      <c r="B34" s="114"/>
      <c r="C34" s="7"/>
      <c r="D34" s="114"/>
      <c r="E34" s="114"/>
      <c r="F34" s="121"/>
      <c r="G34" s="7"/>
      <c r="H34" s="8"/>
      <c r="I34" s="4">
        <f t="shared" si="0"/>
        <v>0</v>
      </c>
      <c r="J34" s="122"/>
      <c r="K34" s="114"/>
      <c r="L34" s="7"/>
      <c r="M34" s="114"/>
      <c r="N34" s="114"/>
      <c r="O34" s="121"/>
      <c r="P34" s="7"/>
      <c r="Q34" s="8"/>
      <c r="R34" s="4">
        <f t="shared" si="1"/>
        <v>0</v>
      </c>
    </row>
    <row r="35" spans="1:18" x14ac:dyDescent="0.2">
      <c r="A35" s="122"/>
      <c r="B35" s="114"/>
      <c r="C35" s="7"/>
      <c r="D35" s="114"/>
      <c r="E35" s="114"/>
      <c r="F35" s="121"/>
      <c r="G35" s="7"/>
      <c r="H35" s="8"/>
      <c r="I35" s="4">
        <f t="shared" si="0"/>
        <v>0</v>
      </c>
      <c r="J35" s="122"/>
      <c r="K35" s="114"/>
      <c r="L35" s="7"/>
      <c r="M35" s="114"/>
      <c r="N35" s="114"/>
      <c r="O35" s="121"/>
      <c r="P35" s="7"/>
      <c r="Q35" s="8"/>
      <c r="R35" s="4">
        <f t="shared" si="1"/>
        <v>0</v>
      </c>
    </row>
    <row r="36" spans="1:18" x14ac:dyDescent="0.2">
      <c r="A36" s="122"/>
      <c r="B36" s="114"/>
      <c r="C36" s="7"/>
      <c r="D36" s="114"/>
      <c r="E36" s="114"/>
      <c r="F36" s="121"/>
      <c r="G36" s="7"/>
      <c r="H36" s="8"/>
      <c r="I36" s="4">
        <f t="shared" si="0"/>
        <v>0</v>
      </c>
      <c r="J36" s="122"/>
      <c r="K36" s="114"/>
      <c r="L36" s="7"/>
      <c r="M36" s="114"/>
      <c r="N36" s="114"/>
      <c r="O36" s="121"/>
      <c r="P36" s="7"/>
      <c r="Q36" s="8"/>
      <c r="R36" s="4">
        <f t="shared" si="1"/>
        <v>0</v>
      </c>
    </row>
    <row r="37" spans="1:18" x14ac:dyDescent="0.2">
      <c r="A37" s="122"/>
      <c r="B37" s="114"/>
      <c r="C37" s="7"/>
      <c r="D37" s="114"/>
      <c r="E37" s="114"/>
      <c r="F37" s="121"/>
      <c r="G37" s="7"/>
      <c r="H37" s="8"/>
      <c r="I37" s="4">
        <f t="shared" si="0"/>
        <v>0</v>
      </c>
      <c r="J37" s="122"/>
      <c r="K37" s="114"/>
      <c r="L37" s="7"/>
      <c r="M37" s="114"/>
      <c r="N37" s="114"/>
      <c r="O37" s="121"/>
      <c r="P37" s="7"/>
      <c r="Q37" s="8"/>
      <c r="R37" s="4">
        <f t="shared" si="1"/>
        <v>0</v>
      </c>
    </row>
    <row r="38" spans="1:18" x14ac:dyDescent="0.2">
      <c r="A38" s="122"/>
      <c r="B38" s="114"/>
      <c r="C38" s="7"/>
      <c r="D38" s="114"/>
      <c r="E38" s="114"/>
      <c r="F38" s="121"/>
      <c r="G38" s="7"/>
      <c r="H38" s="8"/>
      <c r="I38" s="4">
        <f t="shared" si="0"/>
        <v>0</v>
      </c>
      <c r="J38" s="122"/>
      <c r="K38" s="114"/>
      <c r="L38" s="7"/>
      <c r="M38" s="114"/>
      <c r="N38" s="114"/>
      <c r="O38" s="121"/>
      <c r="P38" s="7"/>
      <c r="Q38" s="8"/>
      <c r="R38" s="4">
        <f t="shared" si="1"/>
        <v>0</v>
      </c>
    </row>
    <row r="39" spans="1:18" x14ac:dyDescent="0.2">
      <c r="A39" s="122"/>
      <c r="B39" s="114"/>
      <c r="C39" s="7"/>
      <c r="D39" s="114"/>
      <c r="E39" s="114"/>
      <c r="F39" s="121"/>
      <c r="G39" s="7"/>
      <c r="H39" s="8"/>
      <c r="I39" s="4">
        <f t="shared" si="0"/>
        <v>0</v>
      </c>
      <c r="J39" s="122"/>
      <c r="K39" s="114"/>
      <c r="L39" s="7"/>
      <c r="M39" s="114"/>
      <c r="N39" s="114"/>
      <c r="O39" s="121"/>
      <c r="P39" s="7"/>
      <c r="Q39" s="8"/>
      <c r="R39" s="4">
        <f t="shared" si="1"/>
        <v>0</v>
      </c>
    </row>
    <row r="40" spans="1:18" x14ac:dyDescent="0.2">
      <c r="A40" s="123"/>
      <c r="B40" s="124"/>
      <c r="C40" s="7"/>
      <c r="D40" s="114"/>
      <c r="E40" s="114"/>
      <c r="F40" s="121"/>
      <c r="G40" s="9"/>
      <c r="H40" s="1"/>
      <c r="I40" s="4">
        <f>H40-G40</f>
        <v>0</v>
      </c>
      <c r="J40" s="122"/>
      <c r="K40" s="114"/>
      <c r="L40" s="7"/>
      <c r="M40" s="114"/>
      <c r="N40" s="114"/>
      <c r="O40" s="121"/>
      <c r="P40" s="7"/>
      <c r="Q40" s="8"/>
      <c r="R40" s="4">
        <f t="shared" si="1"/>
        <v>0</v>
      </c>
    </row>
    <row r="41" spans="1:18" x14ac:dyDescent="0.2">
      <c r="A41" s="122"/>
      <c r="B41" s="114"/>
      <c r="C41" s="7"/>
      <c r="D41" s="114"/>
      <c r="E41" s="114"/>
      <c r="F41" s="121"/>
      <c r="G41" s="7"/>
      <c r="H41" s="8"/>
      <c r="I41" s="4">
        <f t="shared" si="0"/>
        <v>0</v>
      </c>
      <c r="J41" s="122"/>
      <c r="K41" s="114"/>
      <c r="L41" s="7"/>
      <c r="M41" s="114"/>
      <c r="N41" s="114"/>
      <c r="O41" s="121"/>
      <c r="P41" s="7"/>
      <c r="Q41" s="8"/>
      <c r="R41" s="4">
        <f t="shared" si="1"/>
        <v>0</v>
      </c>
    </row>
    <row r="42" spans="1:18" x14ac:dyDescent="0.2">
      <c r="A42" s="122"/>
      <c r="B42" s="114"/>
      <c r="C42" s="7"/>
      <c r="D42" s="114"/>
      <c r="E42" s="114"/>
      <c r="F42" s="121"/>
      <c r="G42" s="7"/>
      <c r="H42" s="8"/>
      <c r="I42" s="4">
        <f t="shared" si="0"/>
        <v>0</v>
      </c>
      <c r="J42" s="123"/>
      <c r="K42" s="124"/>
      <c r="L42" s="7"/>
      <c r="M42" s="114"/>
      <c r="N42" s="114"/>
      <c r="O42" s="121"/>
      <c r="P42" s="9"/>
      <c r="Q42" s="1"/>
      <c r="R42" s="4">
        <f>Q42-P42</f>
        <v>0</v>
      </c>
    </row>
    <row r="43" spans="1:18" x14ac:dyDescent="0.2">
      <c r="A43" s="122"/>
      <c r="B43" s="114"/>
      <c r="C43" s="7"/>
      <c r="D43" s="114"/>
      <c r="E43" s="114"/>
      <c r="F43" s="121"/>
      <c r="G43" s="7"/>
      <c r="H43" s="8"/>
      <c r="I43" s="4">
        <f t="shared" si="0"/>
        <v>0</v>
      </c>
      <c r="J43" s="122"/>
      <c r="K43" s="114"/>
      <c r="L43" s="7"/>
      <c r="M43" s="114"/>
      <c r="N43" s="114"/>
      <c r="O43" s="121"/>
      <c r="P43" s="7"/>
      <c r="Q43" s="8"/>
      <c r="R43" s="4">
        <f t="shared" ref="R43:R49" si="2">Q43-P43</f>
        <v>0</v>
      </c>
    </row>
    <row r="44" spans="1:18" x14ac:dyDescent="0.2">
      <c r="A44" s="122"/>
      <c r="B44" s="114"/>
      <c r="C44" s="7"/>
      <c r="D44" s="114"/>
      <c r="E44" s="114"/>
      <c r="F44" s="121"/>
      <c r="G44" s="7"/>
      <c r="H44" s="8"/>
      <c r="I44" s="4">
        <f t="shared" si="0"/>
        <v>0</v>
      </c>
      <c r="J44" s="122"/>
      <c r="K44" s="114"/>
      <c r="L44" s="7"/>
      <c r="M44" s="114"/>
      <c r="N44" s="114"/>
      <c r="O44" s="121"/>
      <c r="P44" s="7"/>
      <c r="Q44" s="8"/>
      <c r="R44" s="4">
        <f t="shared" si="2"/>
        <v>0</v>
      </c>
    </row>
    <row r="45" spans="1:18" x14ac:dyDescent="0.2">
      <c r="A45" s="122"/>
      <c r="B45" s="114"/>
      <c r="C45" s="7"/>
      <c r="D45" s="114"/>
      <c r="E45" s="114"/>
      <c r="F45" s="121"/>
      <c r="G45" s="7"/>
      <c r="H45" s="8"/>
      <c r="I45" s="4">
        <f t="shared" si="0"/>
        <v>0</v>
      </c>
      <c r="J45" s="122"/>
      <c r="K45" s="114"/>
      <c r="L45" s="7"/>
      <c r="M45" s="114"/>
      <c r="N45" s="114"/>
      <c r="O45" s="121"/>
      <c r="P45" s="7"/>
      <c r="Q45" s="8"/>
      <c r="R45" s="4">
        <f t="shared" si="2"/>
        <v>0</v>
      </c>
    </row>
    <row r="46" spans="1:18" x14ac:dyDescent="0.2">
      <c r="A46" s="122"/>
      <c r="B46" s="114"/>
      <c r="C46" s="7"/>
      <c r="D46" s="114"/>
      <c r="E46" s="114"/>
      <c r="F46" s="121"/>
      <c r="G46" s="7"/>
      <c r="H46" s="8"/>
      <c r="I46" s="4">
        <f t="shared" si="0"/>
        <v>0</v>
      </c>
      <c r="J46" s="122"/>
      <c r="K46" s="114"/>
      <c r="L46" s="7"/>
      <c r="M46" s="114"/>
      <c r="N46" s="114"/>
      <c r="O46" s="121"/>
      <c r="P46" s="7"/>
      <c r="Q46" s="8"/>
      <c r="R46" s="4">
        <f t="shared" si="2"/>
        <v>0</v>
      </c>
    </row>
    <row r="47" spans="1:18" x14ac:dyDescent="0.2">
      <c r="A47" s="122"/>
      <c r="B47" s="114"/>
      <c r="C47" s="7"/>
      <c r="D47" s="114"/>
      <c r="E47" s="114"/>
      <c r="F47" s="121"/>
      <c r="G47" s="7"/>
      <c r="H47" s="8"/>
      <c r="I47" s="4">
        <f t="shared" si="0"/>
        <v>0</v>
      </c>
      <c r="J47" s="122"/>
      <c r="K47" s="114"/>
      <c r="L47" s="7"/>
      <c r="M47" s="114"/>
      <c r="N47" s="114"/>
      <c r="O47" s="121"/>
      <c r="P47" s="7"/>
      <c r="Q47" s="8"/>
      <c r="R47" s="4">
        <f t="shared" si="2"/>
        <v>0</v>
      </c>
    </row>
    <row r="48" spans="1:18" x14ac:dyDescent="0.2">
      <c r="A48" s="122"/>
      <c r="B48" s="114"/>
      <c r="C48" s="7"/>
      <c r="D48" s="114"/>
      <c r="E48" s="114"/>
      <c r="F48" s="121"/>
      <c r="G48" s="7"/>
      <c r="H48" s="8"/>
      <c r="I48" s="4">
        <f t="shared" si="0"/>
        <v>0</v>
      </c>
      <c r="J48" s="122"/>
      <c r="K48" s="114"/>
      <c r="L48" s="7"/>
      <c r="M48" s="114"/>
      <c r="N48" s="114"/>
      <c r="O48" s="121"/>
      <c r="P48" s="7"/>
      <c r="Q48" s="8"/>
      <c r="R48" s="4">
        <f t="shared" si="2"/>
        <v>0</v>
      </c>
    </row>
    <row r="49" spans="1:18" ht="16" thickBot="1" x14ac:dyDescent="0.25">
      <c r="A49" s="79"/>
      <c r="B49" s="80"/>
      <c r="C49" s="10"/>
      <c r="D49" s="114"/>
      <c r="E49" s="114"/>
      <c r="F49" s="121"/>
      <c r="G49" s="10"/>
      <c r="H49" s="11"/>
      <c r="I49" s="12">
        <f t="shared" si="0"/>
        <v>0</v>
      </c>
      <c r="J49" s="122"/>
      <c r="K49" s="114"/>
      <c r="L49" s="7"/>
      <c r="M49" s="114"/>
      <c r="N49" s="114"/>
      <c r="O49" s="121"/>
      <c r="P49" s="7"/>
      <c r="Q49" s="8"/>
      <c r="R49" s="4">
        <f t="shared" si="2"/>
        <v>0</v>
      </c>
    </row>
    <row r="50" spans="1:18" ht="16" thickBot="1" x14ac:dyDescent="0.25">
      <c r="A50" s="125"/>
      <c r="B50" s="126"/>
      <c r="C50" s="16"/>
      <c r="D50" s="127"/>
      <c r="E50" s="127"/>
      <c r="F50" s="126"/>
      <c r="G50" s="128" t="s">
        <v>38</v>
      </c>
      <c r="H50" s="126"/>
      <c r="I50" s="13">
        <f>SUM(I12:I49)</f>
        <v>0.80347222222222248</v>
      </c>
      <c r="J50" s="125"/>
      <c r="K50" s="126"/>
      <c r="L50" s="16"/>
      <c r="M50" s="127"/>
      <c r="N50" s="127"/>
      <c r="O50" s="126"/>
      <c r="P50" s="128" t="s">
        <v>38</v>
      </c>
      <c r="Q50" s="126"/>
      <c r="R50" s="13">
        <f>SUM(R12:R49)</f>
        <v>0.43055555555555552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2" t="s">
        <v>71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2" t="s">
        <v>46</v>
      </c>
      <c r="T1" s="83"/>
      <c r="U1" s="83"/>
      <c r="V1" s="83"/>
      <c r="W1" s="83"/>
    </row>
    <row r="2" spans="1:23" ht="16" thickBot="1" x14ac:dyDescent="0.2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3"/>
      <c r="T2" s="83"/>
      <c r="U2" s="83"/>
      <c r="V2" s="83"/>
      <c r="W2" s="83"/>
    </row>
    <row r="3" spans="1:23" ht="16" thickTop="1" x14ac:dyDescent="0.2">
      <c r="A3" s="85" t="s">
        <v>6</v>
      </c>
      <c r="B3" s="86"/>
      <c r="C3" s="87" t="s">
        <v>85</v>
      </c>
      <c r="D3" s="88"/>
      <c r="E3" s="88"/>
      <c r="F3" s="88"/>
      <c r="G3" s="88"/>
      <c r="H3" s="88"/>
      <c r="I3" s="89"/>
      <c r="J3" s="85" t="s">
        <v>6</v>
      </c>
      <c r="K3" s="86"/>
      <c r="L3" s="87" t="s">
        <v>85</v>
      </c>
      <c r="M3" s="88"/>
      <c r="N3" s="88"/>
      <c r="O3" s="88"/>
      <c r="P3" s="88"/>
      <c r="Q3" s="88"/>
      <c r="R3" s="89"/>
      <c r="S3" s="90"/>
      <c r="T3" s="83"/>
      <c r="U3" s="83"/>
      <c r="V3" s="83"/>
      <c r="W3" s="83"/>
    </row>
    <row r="4" spans="1:23" x14ac:dyDescent="0.2">
      <c r="A4" s="91" t="s">
        <v>7</v>
      </c>
      <c r="B4" s="92"/>
      <c r="C4" s="73" t="s">
        <v>44</v>
      </c>
      <c r="D4" s="73"/>
      <c r="E4" s="73"/>
      <c r="F4" s="73"/>
      <c r="G4" s="73"/>
      <c r="H4" s="73"/>
      <c r="I4" s="74"/>
      <c r="J4" s="91" t="s">
        <v>7</v>
      </c>
      <c r="K4" s="92"/>
      <c r="L4" s="73" t="s">
        <v>44</v>
      </c>
      <c r="M4" s="73"/>
      <c r="N4" s="73"/>
      <c r="O4" s="73"/>
      <c r="P4" s="73"/>
      <c r="Q4" s="73"/>
      <c r="R4" s="74"/>
      <c r="S4" s="90"/>
      <c r="T4" s="83"/>
      <c r="U4" s="83"/>
      <c r="V4" s="83"/>
      <c r="W4" s="83"/>
    </row>
    <row r="5" spans="1:23" x14ac:dyDescent="0.2">
      <c r="A5" s="75" t="s">
        <v>2</v>
      </c>
      <c r="B5" s="76"/>
      <c r="C5" s="77" t="s">
        <v>3</v>
      </c>
      <c r="D5" s="77"/>
      <c r="E5" s="77"/>
      <c r="F5" s="77"/>
      <c r="G5" s="77"/>
      <c r="H5" s="77"/>
      <c r="I5" s="78"/>
      <c r="J5" s="75" t="s">
        <v>2</v>
      </c>
      <c r="K5" s="76"/>
      <c r="L5" s="77" t="s">
        <v>5</v>
      </c>
      <c r="M5" s="77"/>
      <c r="N5" s="77"/>
      <c r="O5" s="77"/>
      <c r="P5" s="77"/>
      <c r="Q5" s="77"/>
      <c r="R5" s="78"/>
      <c r="S5" s="90"/>
      <c r="T5" s="83"/>
      <c r="U5" s="83"/>
      <c r="V5" s="83"/>
      <c r="W5" s="83"/>
    </row>
    <row r="6" spans="1:23" ht="16" thickBot="1" x14ac:dyDescent="0.25">
      <c r="A6" s="79"/>
      <c r="B6" s="80"/>
      <c r="C6" s="80"/>
      <c r="D6" s="80"/>
      <c r="E6" s="80"/>
      <c r="F6" s="80"/>
      <c r="G6" s="80"/>
      <c r="H6" s="80"/>
      <c r="I6" s="81"/>
      <c r="J6" s="79"/>
      <c r="K6" s="80"/>
      <c r="L6" s="80"/>
      <c r="M6" s="80"/>
      <c r="N6" s="80"/>
      <c r="O6" s="80"/>
      <c r="P6" s="80"/>
      <c r="Q6" s="80"/>
      <c r="R6" s="81"/>
      <c r="S6" s="90"/>
      <c r="T6" s="83"/>
      <c r="U6" s="83"/>
      <c r="V6" s="83"/>
      <c r="W6" s="83"/>
    </row>
    <row r="7" spans="1:23" ht="16" thickBot="1" x14ac:dyDescent="0.25">
      <c r="A7" s="104" t="s">
        <v>8</v>
      </c>
      <c r="B7" s="105"/>
      <c r="C7" s="110" t="s">
        <v>43</v>
      </c>
      <c r="D7" s="93" t="s">
        <v>9</v>
      </c>
      <c r="E7" s="93"/>
      <c r="F7" s="94"/>
      <c r="G7" s="36" t="s">
        <v>10</v>
      </c>
      <c r="H7" s="37"/>
      <c r="I7" s="99"/>
      <c r="J7" s="104" t="s">
        <v>8</v>
      </c>
      <c r="K7" s="105"/>
      <c r="L7" s="110" t="s">
        <v>43</v>
      </c>
      <c r="M7" s="93" t="s">
        <v>9</v>
      </c>
      <c r="N7" s="93"/>
      <c r="O7" s="94"/>
      <c r="P7" s="36" t="s">
        <v>10</v>
      </c>
      <c r="Q7" s="37"/>
      <c r="R7" s="99"/>
      <c r="S7" s="90"/>
      <c r="T7" s="83"/>
      <c r="U7" s="83"/>
      <c r="V7" s="83"/>
      <c r="W7" s="83"/>
    </row>
    <row r="8" spans="1:23" ht="16" thickTop="1" x14ac:dyDescent="0.2">
      <c r="A8" s="106"/>
      <c r="B8" s="107"/>
      <c r="C8" s="111"/>
      <c r="D8" s="95"/>
      <c r="E8" s="95"/>
      <c r="F8" s="96"/>
      <c r="G8" s="100" t="s">
        <v>11</v>
      </c>
      <c r="H8" s="100" t="s">
        <v>12</v>
      </c>
      <c r="I8" s="102" t="s">
        <v>13</v>
      </c>
      <c r="J8" s="106"/>
      <c r="K8" s="107"/>
      <c r="L8" s="111"/>
      <c r="M8" s="95"/>
      <c r="N8" s="95"/>
      <c r="O8" s="96"/>
      <c r="P8" s="100" t="s">
        <v>11</v>
      </c>
      <c r="Q8" s="100" t="s">
        <v>12</v>
      </c>
      <c r="R8" s="102" t="s">
        <v>13</v>
      </c>
      <c r="S8" s="90"/>
      <c r="T8" s="83"/>
      <c r="U8" s="83"/>
      <c r="V8" s="83"/>
      <c r="W8" s="83"/>
    </row>
    <row r="9" spans="1:23" x14ac:dyDescent="0.2">
      <c r="A9" s="106"/>
      <c r="B9" s="107"/>
      <c r="C9" s="111"/>
      <c r="D9" s="95"/>
      <c r="E9" s="95"/>
      <c r="F9" s="96"/>
      <c r="G9" s="100"/>
      <c r="H9" s="100"/>
      <c r="I9" s="102"/>
      <c r="J9" s="106"/>
      <c r="K9" s="107"/>
      <c r="L9" s="111"/>
      <c r="M9" s="95"/>
      <c r="N9" s="95"/>
      <c r="O9" s="96"/>
      <c r="P9" s="100"/>
      <c r="Q9" s="100"/>
      <c r="R9" s="102"/>
      <c r="S9" s="90"/>
      <c r="T9" s="83"/>
      <c r="U9" s="83"/>
      <c r="V9" s="83"/>
      <c r="W9" s="83"/>
    </row>
    <row r="10" spans="1:23" x14ac:dyDescent="0.2">
      <c r="A10" s="106"/>
      <c r="B10" s="107"/>
      <c r="C10" s="111"/>
      <c r="D10" s="95"/>
      <c r="E10" s="95"/>
      <c r="F10" s="96"/>
      <c r="G10" s="100"/>
      <c r="H10" s="100"/>
      <c r="I10" s="102"/>
      <c r="J10" s="106"/>
      <c r="K10" s="107"/>
      <c r="L10" s="111"/>
      <c r="M10" s="95"/>
      <c r="N10" s="95"/>
      <c r="O10" s="96"/>
      <c r="P10" s="100"/>
      <c r="Q10" s="100"/>
      <c r="R10" s="102"/>
      <c r="S10" s="90"/>
      <c r="T10" s="83"/>
      <c r="U10" s="83"/>
      <c r="V10" s="83"/>
      <c r="W10" s="83"/>
    </row>
    <row r="11" spans="1:23" ht="16" thickBot="1" x14ac:dyDescent="0.25">
      <c r="A11" s="108"/>
      <c r="B11" s="109"/>
      <c r="C11" s="112"/>
      <c r="D11" s="97"/>
      <c r="E11" s="97"/>
      <c r="F11" s="98"/>
      <c r="G11" s="101"/>
      <c r="H11" s="101"/>
      <c r="I11" s="103"/>
      <c r="J11" s="108"/>
      <c r="K11" s="109"/>
      <c r="L11" s="112"/>
      <c r="M11" s="97"/>
      <c r="N11" s="97"/>
      <c r="O11" s="98"/>
      <c r="P11" s="101"/>
      <c r="Q11" s="101"/>
      <c r="R11" s="103"/>
      <c r="S11" s="90"/>
      <c r="T11" s="83"/>
      <c r="U11" s="83"/>
      <c r="V11" s="83"/>
      <c r="W11" s="83"/>
    </row>
    <row r="12" spans="1:23" x14ac:dyDescent="0.2">
      <c r="A12" s="116" t="s">
        <v>79</v>
      </c>
      <c r="B12" s="117"/>
      <c r="C12" s="14"/>
      <c r="D12" s="118" t="s">
        <v>80</v>
      </c>
      <c r="E12" s="118"/>
      <c r="F12" s="119"/>
      <c r="G12" s="23">
        <v>0.53125</v>
      </c>
      <c r="H12" s="3">
        <v>0.64236111111111105</v>
      </c>
      <c r="I12" s="4">
        <f>H12-G12</f>
        <v>0.11111111111111105</v>
      </c>
      <c r="J12" s="116">
        <v>44902</v>
      </c>
      <c r="K12" s="117"/>
      <c r="L12" s="14"/>
      <c r="M12" s="73" t="s">
        <v>72</v>
      </c>
      <c r="N12" s="73"/>
      <c r="O12" s="115"/>
      <c r="P12" s="2">
        <v>0.375</v>
      </c>
      <c r="Q12" s="3">
        <v>0.4375</v>
      </c>
      <c r="R12" s="4">
        <f>Q12-P12</f>
        <v>6.25E-2</v>
      </c>
    </row>
    <row r="13" spans="1:23" x14ac:dyDescent="0.2">
      <c r="A13" s="113" t="s">
        <v>78</v>
      </c>
      <c r="B13" s="114"/>
      <c r="C13" s="7"/>
      <c r="D13" s="73" t="s">
        <v>72</v>
      </c>
      <c r="E13" s="73"/>
      <c r="F13" s="115"/>
      <c r="G13" s="24">
        <v>0.375</v>
      </c>
      <c r="H13" s="6">
        <v>0.48958333333333331</v>
      </c>
      <c r="I13" s="4">
        <f>H13-G13</f>
        <v>0.11458333333333331</v>
      </c>
      <c r="J13" s="113">
        <v>44903</v>
      </c>
      <c r="K13" s="114"/>
      <c r="L13" s="7"/>
      <c r="M13" s="73" t="s">
        <v>73</v>
      </c>
      <c r="N13" s="73"/>
      <c r="O13" s="115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2">
      <c r="A14" s="113" t="s">
        <v>82</v>
      </c>
      <c r="B14" s="114"/>
      <c r="C14" s="7"/>
      <c r="D14" s="131" t="s">
        <v>76</v>
      </c>
      <c r="E14" s="131"/>
      <c r="F14" s="132"/>
      <c r="G14" s="5">
        <v>0.66666666666666663</v>
      </c>
      <c r="H14" s="6">
        <v>0.71875</v>
      </c>
      <c r="I14" s="4">
        <f t="shared" ref="I14:I49" si="0">H14-G14</f>
        <v>5.208333333333337E-2</v>
      </c>
      <c r="J14" s="113">
        <v>44903</v>
      </c>
      <c r="K14" s="114"/>
      <c r="L14" s="17"/>
      <c r="M14" s="73" t="s">
        <v>74</v>
      </c>
      <c r="N14" s="73"/>
      <c r="O14" s="115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2">
      <c r="A15" s="113" t="s">
        <v>81</v>
      </c>
      <c r="B15" s="114"/>
      <c r="C15" s="7"/>
      <c r="D15" s="73" t="s">
        <v>84</v>
      </c>
      <c r="E15" s="73"/>
      <c r="F15" s="115"/>
      <c r="G15" s="5">
        <v>0.36805555555555558</v>
      </c>
      <c r="H15" s="6">
        <v>0.48958333333333331</v>
      </c>
      <c r="I15" s="4">
        <f t="shared" si="0"/>
        <v>0.12152777777777773</v>
      </c>
      <c r="J15" s="113">
        <v>44904</v>
      </c>
      <c r="K15" s="114"/>
      <c r="L15" s="7"/>
      <c r="M15" s="73" t="s">
        <v>75</v>
      </c>
      <c r="N15" s="73"/>
      <c r="O15" s="115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2">
      <c r="A16" s="113" t="s">
        <v>81</v>
      </c>
      <c r="B16" s="114"/>
      <c r="C16" s="7"/>
      <c r="D16" s="73" t="s">
        <v>83</v>
      </c>
      <c r="E16" s="73"/>
      <c r="F16" s="115"/>
      <c r="G16" s="5">
        <v>0.75</v>
      </c>
      <c r="H16" s="6">
        <v>0.86458333333333337</v>
      </c>
      <c r="I16" s="4">
        <f t="shared" si="0"/>
        <v>0.11458333333333337</v>
      </c>
      <c r="J16" s="113">
        <v>44905</v>
      </c>
      <c r="K16" s="120"/>
      <c r="L16" s="7"/>
      <c r="M16" s="73" t="s">
        <v>76</v>
      </c>
      <c r="N16" s="73"/>
      <c r="O16" s="115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2">
      <c r="A17" s="113"/>
      <c r="B17" s="114"/>
      <c r="C17" s="7"/>
      <c r="D17" s="73"/>
      <c r="E17" s="73"/>
      <c r="F17" s="115"/>
      <c r="G17" s="5"/>
      <c r="H17" s="6"/>
      <c r="I17" s="4">
        <f t="shared" si="0"/>
        <v>0</v>
      </c>
      <c r="J17" s="113">
        <v>44906</v>
      </c>
      <c r="K17" s="114"/>
      <c r="L17" s="7"/>
      <c r="M17" s="73" t="s">
        <v>77</v>
      </c>
      <c r="N17" s="73"/>
      <c r="O17" s="115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2">
      <c r="A18" s="113"/>
      <c r="B18" s="114"/>
      <c r="C18" s="7"/>
      <c r="D18" s="73"/>
      <c r="E18" s="73"/>
      <c r="F18" s="115"/>
      <c r="G18" s="5"/>
      <c r="H18" s="6"/>
      <c r="I18" s="4">
        <f t="shared" si="0"/>
        <v>0</v>
      </c>
      <c r="J18" s="113"/>
      <c r="K18" s="114"/>
      <c r="L18" s="7"/>
      <c r="M18" s="73"/>
      <c r="N18" s="73"/>
      <c r="O18" s="115"/>
      <c r="P18" s="5"/>
      <c r="Q18" s="6"/>
      <c r="R18" s="4">
        <f t="shared" si="1"/>
        <v>0</v>
      </c>
    </row>
    <row r="19" spans="1:18" x14ac:dyDescent="0.2">
      <c r="A19" s="113"/>
      <c r="B19" s="114"/>
      <c r="C19" s="7"/>
      <c r="D19" s="73"/>
      <c r="E19" s="73"/>
      <c r="F19" s="115"/>
      <c r="G19" s="5"/>
      <c r="H19" s="6"/>
      <c r="I19" s="4">
        <f t="shared" si="0"/>
        <v>0</v>
      </c>
      <c r="J19" s="113"/>
      <c r="K19" s="114"/>
      <c r="L19" s="7"/>
      <c r="M19" s="73"/>
      <c r="N19" s="73"/>
      <c r="O19" s="115"/>
      <c r="P19" s="5"/>
      <c r="Q19" s="6"/>
      <c r="R19" s="4">
        <f>Q19-P19</f>
        <v>0</v>
      </c>
    </row>
    <row r="20" spans="1:18" x14ac:dyDescent="0.2">
      <c r="A20" s="113"/>
      <c r="B20" s="114"/>
      <c r="C20" s="7"/>
      <c r="D20" s="73"/>
      <c r="E20" s="73"/>
      <c r="F20" s="115"/>
      <c r="G20" s="5"/>
      <c r="H20" s="6"/>
      <c r="I20" s="4">
        <f t="shared" si="0"/>
        <v>0</v>
      </c>
      <c r="J20" s="113"/>
      <c r="K20" s="114"/>
      <c r="L20" s="7"/>
      <c r="M20" s="73"/>
      <c r="N20" s="73"/>
      <c r="O20" s="115"/>
      <c r="P20" s="5"/>
      <c r="Q20" s="6"/>
      <c r="R20" s="4">
        <f t="shared" si="1"/>
        <v>0</v>
      </c>
    </row>
    <row r="21" spans="1:18" x14ac:dyDescent="0.2">
      <c r="A21" s="113"/>
      <c r="B21" s="114"/>
      <c r="C21" s="7"/>
      <c r="D21" s="73"/>
      <c r="E21" s="73"/>
      <c r="F21" s="115"/>
      <c r="G21" s="5"/>
      <c r="H21" s="6"/>
      <c r="I21" s="4">
        <f t="shared" si="0"/>
        <v>0</v>
      </c>
      <c r="J21" s="113"/>
      <c r="K21" s="114"/>
      <c r="L21" s="7"/>
      <c r="M21" s="114"/>
      <c r="N21" s="114"/>
      <c r="O21" s="121"/>
      <c r="P21" s="5"/>
      <c r="Q21" s="6"/>
      <c r="R21" s="4">
        <f t="shared" si="1"/>
        <v>0</v>
      </c>
    </row>
    <row r="22" spans="1:18" x14ac:dyDescent="0.2">
      <c r="A22" s="113"/>
      <c r="B22" s="114"/>
      <c r="C22" s="7"/>
      <c r="D22" s="114"/>
      <c r="E22" s="114"/>
      <c r="F22" s="121"/>
      <c r="G22" s="5"/>
      <c r="H22" s="6"/>
      <c r="I22" s="4">
        <f t="shared" si="0"/>
        <v>0</v>
      </c>
      <c r="J22" s="113"/>
      <c r="K22" s="114"/>
      <c r="L22" s="7"/>
      <c r="M22" s="114"/>
      <c r="N22" s="114"/>
      <c r="O22" s="121"/>
      <c r="P22" s="5"/>
      <c r="Q22" s="6"/>
      <c r="R22" s="4">
        <f t="shared" si="1"/>
        <v>0</v>
      </c>
    </row>
    <row r="23" spans="1:18" x14ac:dyDescent="0.2">
      <c r="A23" s="113"/>
      <c r="B23" s="114"/>
      <c r="C23" s="7"/>
      <c r="D23" s="114"/>
      <c r="E23" s="114"/>
      <c r="F23" s="121"/>
      <c r="G23" s="5"/>
      <c r="H23" s="6"/>
      <c r="I23" s="4">
        <f t="shared" si="0"/>
        <v>0</v>
      </c>
      <c r="J23" s="113"/>
      <c r="K23" s="114"/>
      <c r="L23" s="7"/>
      <c r="M23" s="114"/>
      <c r="N23" s="114"/>
      <c r="O23" s="121"/>
      <c r="P23" s="5"/>
      <c r="Q23" s="6"/>
      <c r="R23" s="4">
        <f t="shared" si="1"/>
        <v>0</v>
      </c>
    </row>
    <row r="24" spans="1:18" x14ac:dyDescent="0.2">
      <c r="A24" s="113"/>
      <c r="B24" s="114"/>
      <c r="C24" s="7"/>
      <c r="D24" s="114"/>
      <c r="E24" s="114"/>
      <c r="F24" s="121"/>
      <c r="G24" s="5"/>
      <c r="H24" s="6"/>
      <c r="I24" s="4">
        <f t="shared" si="0"/>
        <v>0</v>
      </c>
      <c r="J24" s="113"/>
      <c r="K24" s="114"/>
      <c r="L24" s="7"/>
      <c r="M24" s="114"/>
      <c r="N24" s="114"/>
      <c r="O24" s="121"/>
      <c r="P24" s="5"/>
      <c r="Q24" s="6"/>
      <c r="R24" s="4">
        <f t="shared" si="1"/>
        <v>0</v>
      </c>
    </row>
    <row r="25" spans="1:18" x14ac:dyDescent="0.2">
      <c r="A25" s="113"/>
      <c r="B25" s="114"/>
      <c r="C25" s="7"/>
      <c r="D25" s="114"/>
      <c r="E25" s="114"/>
      <c r="F25" s="121"/>
      <c r="G25" s="5"/>
      <c r="H25" s="6"/>
      <c r="I25" s="4">
        <f t="shared" si="0"/>
        <v>0</v>
      </c>
      <c r="J25" s="113"/>
      <c r="K25" s="114"/>
      <c r="L25" s="7"/>
      <c r="M25" s="114"/>
      <c r="N25" s="114"/>
      <c r="O25" s="121"/>
      <c r="P25" s="5"/>
      <c r="Q25" s="6"/>
      <c r="R25" s="4">
        <f t="shared" si="1"/>
        <v>0</v>
      </c>
    </row>
    <row r="26" spans="1:18" x14ac:dyDescent="0.2">
      <c r="A26" s="122"/>
      <c r="B26" s="114"/>
      <c r="C26" s="7"/>
      <c r="D26" s="114"/>
      <c r="E26" s="114"/>
      <c r="F26" s="121"/>
      <c r="G26" s="7"/>
      <c r="H26" s="8"/>
      <c r="I26" s="4">
        <f t="shared" si="0"/>
        <v>0</v>
      </c>
      <c r="J26" s="113"/>
      <c r="K26" s="114"/>
      <c r="L26" s="7"/>
      <c r="M26" s="114"/>
      <c r="N26" s="114"/>
      <c r="O26" s="121"/>
      <c r="P26" s="5"/>
      <c r="Q26" s="6"/>
      <c r="R26" s="4">
        <f t="shared" si="1"/>
        <v>0</v>
      </c>
    </row>
    <row r="27" spans="1:18" x14ac:dyDescent="0.2">
      <c r="A27" s="122"/>
      <c r="B27" s="114"/>
      <c r="C27" s="7"/>
      <c r="D27" s="114"/>
      <c r="E27" s="114"/>
      <c r="F27" s="121"/>
      <c r="G27" s="7"/>
      <c r="H27" s="8"/>
      <c r="I27" s="4">
        <f t="shared" si="0"/>
        <v>0</v>
      </c>
      <c r="J27" s="122"/>
      <c r="K27" s="114"/>
      <c r="L27" s="7"/>
      <c r="M27" s="114"/>
      <c r="N27" s="114"/>
      <c r="O27" s="121"/>
      <c r="P27" s="7"/>
      <c r="Q27" s="8"/>
      <c r="R27" s="4">
        <f t="shared" si="1"/>
        <v>0</v>
      </c>
    </row>
    <row r="28" spans="1:18" x14ac:dyDescent="0.2">
      <c r="A28" s="122"/>
      <c r="B28" s="114"/>
      <c r="C28" s="7"/>
      <c r="D28" s="114"/>
      <c r="E28" s="114"/>
      <c r="F28" s="121"/>
      <c r="G28" s="7"/>
      <c r="H28" s="8"/>
      <c r="I28" s="4">
        <f t="shared" si="0"/>
        <v>0</v>
      </c>
      <c r="J28" s="122"/>
      <c r="K28" s="114"/>
      <c r="L28" s="7"/>
      <c r="M28" s="114"/>
      <c r="N28" s="114"/>
      <c r="O28" s="121"/>
      <c r="P28" s="7"/>
      <c r="Q28" s="8"/>
      <c r="R28" s="4">
        <f t="shared" si="1"/>
        <v>0</v>
      </c>
    </row>
    <row r="29" spans="1:18" x14ac:dyDescent="0.2">
      <c r="A29" s="122"/>
      <c r="B29" s="114"/>
      <c r="C29" s="7"/>
      <c r="D29" s="114"/>
      <c r="E29" s="114"/>
      <c r="F29" s="121"/>
      <c r="G29" s="7"/>
      <c r="H29" s="8"/>
      <c r="I29" s="4">
        <f t="shared" si="0"/>
        <v>0</v>
      </c>
      <c r="J29" s="122"/>
      <c r="K29" s="114"/>
      <c r="L29" s="7"/>
      <c r="M29" s="114"/>
      <c r="N29" s="114"/>
      <c r="O29" s="121"/>
      <c r="P29" s="7"/>
      <c r="Q29" s="8"/>
      <c r="R29" s="4">
        <f t="shared" si="1"/>
        <v>0</v>
      </c>
    </row>
    <row r="30" spans="1:18" x14ac:dyDescent="0.2">
      <c r="A30" s="122"/>
      <c r="B30" s="114"/>
      <c r="C30" s="7"/>
      <c r="D30" s="114"/>
      <c r="E30" s="114"/>
      <c r="F30" s="121"/>
      <c r="G30" s="7"/>
      <c r="H30" s="8"/>
      <c r="I30" s="4">
        <f t="shared" si="0"/>
        <v>0</v>
      </c>
      <c r="J30" s="122"/>
      <c r="K30" s="114"/>
      <c r="L30" s="7"/>
      <c r="M30" s="114"/>
      <c r="N30" s="114"/>
      <c r="O30" s="121"/>
      <c r="P30" s="7"/>
      <c r="Q30" s="8"/>
      <c r="R30" s="4">
        <f t="shared" si="1"/>
        <v>0</v>
      </c>
    </row>
    <row r="31" spans="1:18" x14ac:dyDescent="0.2">
      <c r="A31" s="122"/>
      <c r="B31" s="114"/>
      <c r="C31" s="7"/>
      <c r="D31" s="114"/>
      <c r="E31" s="114"/>
      <c r="F31" s="121"/>
      <c r="G31" s="7"/>
      <c r="H31" s="8"/>
      <c r="I31" s="4">
        <f t="shared" si="0"/>
        <v>0</v>
      </c>
      <c r="J31" s="122"/>
      <c r="K31" s="114"/>
      <c r="L31" s="7"/>
      <c r="M31" s="114"/>
      <c r="N31" s="114"/>
      <c r="O31" s="121"/>
      <c r="P31" s="7"/>
      <c r="Q31" s="8"/>
      <c r="R31" s="4">
        <f t="shared" si="1"/>
        <v>0</v>
      </c>
    </row>
    <row r="32" spans="1:18" x14ac:dyDescent="0.2">
      <c r="A32" s="122"/>
      <c r="B32" s="114"/>
      <c r="C32" s="7"/>
      <c r="D32" s="114"/>
      <c r="E32" s="114"/>
      <c r="F32" s="121"/>
      <c r="G32" s="7"/>
      <c r="H32" s="8"/>
      <c r="I32" s="4">
        <f t="shared" si="0"/>
        <v>0</v>
      </c>
      <c r="J32" s="122"/>
      <c r="K32" s="114"/>
      <c r="L32" s="7"/>
      <c r="M32" s="114"/>
      <c r="N32" s="114"/>
      <c r="O32" s="121"/>
      <c r="P32" s="7"/>
      <c r="Q32" s="8"/>
      <c r="R32" s="4">
        <f t="shared" si="1"/>
        <v>0</v>
      </c>
    </row>
    <row r="33" spans="1:18" x14ac:dyDescent="0.2">
      <c r="A33" s="122"/>
      <c r="B33" s="114"/>
      <c r="C33" s="7"/>
      <c r="D33" s="114"/>
      <c r="E33" s="114"/>
      <c r="F33" s="121"/>
      <c r="G33" s="7"/>
      <c r="H33" s="8"/>
      <c r="I33" s="4">
        <f t="shared" si="0"/>
        <v>0</v>
      </c>
      <c r="J33" s="122"/>
      <c r="K33" s="114"/>
      <c r="L33" s="7"/>
      <c r="M33" s="114"/>
      <c r="N33" s="114"/>
      <c r="O33" s="121"/>
      <c r="P33" s="7"/>
      <c r="Q33" s="8"/>
      <c r="R33" s="4">
        <f t="shared" si="1"/>
        <v>0</v>
      </c>
    </row>
    <row r="34" spans="1:18" x14ac:dyDescent="0.2">
      <c r="A34" s="122"/>
      <c r="B34" s="114"/>
      <c r="C34" s="7"/>
      <c r="D34" s="114"/>
      <c r="E34" s="114"/>
      <c r="F34" s="121"/>
      <c r="G34" s="7"/>
      <c r="H34" s="8"/>
      <c r="I34" s="4">
        <f t="shared" si="0"/>
        <v>0</v>
      </c>
      <c r="J34" s="122"/>
      <c r="K34" s="114"/>
      <c r="L34" s="7"/>
      <c r="M34" s="114"/>
      <c r="N34" s="114"/>
      <c r="O34" s="121"/>
      <c r="P34" s="7"/>
      <c r="Q34" s="8"/>
      <c r="R34" s="4">
        <f t="shared" si="1"/>
        <v>0</v>
      </c>
    </row>
    <row r="35" spans="1:18" x14ac:dyDescent="0.2">
      <c r="A35" s="122"/>
      <c r="B35" s="114"/>
      <c r="C35" s="7"/>
      <c r="D35" s="114"/>
      <c r="E35" s="114"/>
      <c r="F35" s="121"/>
      <c r="G35" s="7"/>
      <c r="H35" s="8"/>
      <c r="I35" s="4">
        <f t="shared" si="0"/>
        <v>0</v>
      </c>
      <c r="J35" s="122"/>
      <c r="K35" s="114"/>
      <c r="L35" s="7"/>
      <c r="M35" s="114"/>
      <c r="N35" s="114"/>
      <c r="O35" s="121"/>
      <c r="P35" s="7"/>
      <c r="Q35" s="8"/>
      <c r="R35" s="4">
        <f t="shared" si="1"/>
        <v>0</v>
      </c>
    </row>
    <row r="36" spans="1:18" x14ac:dyDescent="0.2">
      <c r="A36" s="122"/>
      <c r="B36" s="114"/>
      <c r="C36" s="7"/>
      <c r="D36" s="114"/>
      <c r="E36" s="114"/>
      <c r="F36" s="121"/>
      <c r="G36" s="7"/>
      <c r="H36" s="8"/>
      <c r="I36" s="4">
        <f t="shared" si="0"/>
        <v>0</v>
      </c>
      <c r="J36" s="122"/>
      <c r="K36" s="114"/>
      <c r="L36" s="7"/>
      <c r="M36" s="114"/>
      <c r="N36" s="114"/>
      <c r="O36" s="121"/>
      <c r="P36" s="7"/>
      <c r="Q36" s="8"/>
      <c r="R36" s="4">
        <f t="shared" si="1"/>
        <v>0</v>
      </c>
    </row>
    <row r="37" spans="1:18" x14ac:dyDescent="0.2">
      <c r="A37" s="122"/>
      <c r="B37" s="114"/>
      <c r="C37" s="7"/>
      <c r="D37" s="114"/>
      <c r="E37" s="114"/>
      <c r="F37" s="121"/>
      <c r="G37" s="7"/>
      <c r="H37" s="8"/>
      <c r="I37" s="4">
        <f t="shared" si="0"/>
        <v>0</v>
      </c>
      <c r="J37" s="122"/>
      <c r="K37" s="114"/>
      <c r="L37" s="7"/>
      <c r="M37" s="114"/>
      <c r="N37" s="114"/>
      <c r="O37" s="121"/>
      <c r="P37" s="7"/>
      <c r="Q37" s="8"/>
      <c r="R37" s="4">
        <f t="shared" si="1"/>
        <v>0</v>
      </c>
    </row>
    <row r="38" spans="1:18" x14ac:dyDescent="0.2">
      <c r="A38" s="122"/>
      <c r="B38" s="114"/>
      <c r="C38" s="7"/>
      <c r="D38" s="114"/>
      <c r="E38" s="114"/>
      <c r="F38" s="121"/>
      <c r="G38" s="7"/>
      <c r="H38" s="8"/>
      <c r="I38" s="4">
        <f t="shared" si="0"/>
        <v>0</v>
      </c>
      <c r="J38" s="122"/>
      <c r="K38" s="114"/>
      <c r="L38" s="7"/>
      <c r="M38" s="114"/>
      <c r="N38" s="114"/>
      <c r="O38" s="121"/>
      <c r="P38" s="7"/>
      <c r="Q38" s="8"/>
      <c r="R38" s="4">
        <f t="shared" si="1"/>
        <v>0</v>
      </c>
    </row>
    <row r="39" spans="1:18" x14ac:dyDescent="0.2">
      <c r="A39" s="122"/>
      <c r="B39" s="114"/>
      <c r="C39" s="7"/>
      <c r="D39" s="114"/>
      <c r="E39" s="114"/>
      <c r="F39" s="121"/>
      <c r="G39" s="7"/>
      <c r="H39" s="8"/>
      <c r="I39" s="4">
        <f t="shared" si="0"/>
        <v>0</v>
      </c>
      <c r="J39" s="122"/>
      <c r="K39" s="114"/>
      <c r="L39" s="7"/>
      <c r="M39" s="114"/>
      <c r="N39" s="114"/>
      <c r="O39" s="121"/>
      <c r="P39" s="7"/>
      <c r="Q39" s="8"/>
      <c r="R39" s="4">
        <f t="shared" si="1"/>
        <v>0</v>
      </c>
    </row>
    <row r="40" spans="1:18" x14ac:dyDescent="0.2">
      <c r="A40" s="123"/>
      <c r="B40" s="124"/>
      <c r="C40" s="7"/>
      <c r="D40" s="114"/>
      <c r="E40" s="114"/>
      <c r="F40" s="121"/>
      <c r="G40" s="9"/>
      <c r="H40" s="1"/>
      <c r="I40" s="4">
        <f>H40-G40</f>
        <v>0</v>
      </c>
      <c r="J40" s="122"/>
      <c r="K40" s="114"/>
      <c r="L40" s="7"/>
      <c r="M40" s="114"/>
      <c r="N40" s="114"/>
      <c r="O40" s="121"/>
      <c r="P40" s="7"/>
      <c r="Q40" s="8"/>
      <c r="R40" s="4">
        <f t="shared" si="1"/>
        <v>0</v>
      </c>
    </row>
    <row r="41" spans="1:18" x14ac:dyDescent="0.2">
      <c r="A41" s="122"/>
      <c r="B41" s="114"/>
      <c r="C41" s="7"/>
      <c r="D41" s="114"/>
      <c r="E41" s="114"/>
      <c r="F41" s="121"/>
      <c r="G41" s="7"/>
      <c r="H41" s="8"/>
      <c r="I41" s="4">
        <f t="shared" si="0"/>
        <v>0</v>
      </c>
      <c r="J41" s="123"/>
      <c r="K41" s="124"/>
      <c r="L41" s="7"/>
      <c r="M41" s="114"/>
      <c r="N41" s="114"/>
      <c r="O41" s="121"/>
      <c r="P41" s="9"/>
      <c r="Q41" s="1"/>
      <c r="R41" s="4">
        <f>Q41-P41</f>
        <v>0</v>
      </c>
    </row>
    <row r="42" spans="1:18" x14ac:dyDescent="0.2">
      <c r="A42" s="122"/>
      <c r="B42" s="114"/>
      <c r="C42" s="7"/>
      <c r="D42" s="114"/>
      <c r="E42" s="114"/>
      <c r="F42" s="121"/>
      <c r="G42" s="7"/>
      <c r="H42" s="8"/>
      <c r="I42" s="4">
        <f t="shared" si="0"/>
        <v>0</v>
      </c>
      <c r="J42" s="122"/>
      <c r="K42" s="114"/>
      <c r="L42" s="7"/>
      <c r="M42" s="114"/>
      <c r="N42" s="114"/>
      <c r="O42" s="121"/>
      <c r="P42" s="7"/>
      <c r="Q42" s="8"/>
      <c r="R42" s="4">
        <f t="shared" ref="R42:R49" si="2">Q42-P42</f>
        <v>0</v>
      </c>
    </row>
    <row r="43" spans="1:18" x14ac:dyDescent="0.2">
      <c r="A43" s="122"/>
      <c r="B43" s="114"/>
      <c r="C43" s="7"/>
      <c r="D43" s="114"/>
      <c r="E43" s="114"/>
      <c r="F43" s="121"/>
      <c r="G43" s="7"/>
      <c r="H43" s="8"/>
      <c r="I43" s="4">
        <f t="shared" si="0"/>
        <v>0</v>
      </c>
      <c r="J43" s="122"/>
      <c r="K43" s="114"/>
      <c r="L43" s="7"/>
      <c r="M43" s="114"/>
      <c r="N43" s="114"/>
      <c r="O43" s="121"/>
      <c r="P43" s="7"/>
      <c r="Q43" s="8"/>
      <c r="R43" s="4">
        <f t="shared" si="2"/>
        <v>0</v>
      </c>
    </row>
    <row r="44" spans="1:18" x14ac:dyDescent="0.2">
      <c r="A44" s="122"/>
      <c r="B44" s="114"/>
      <c r="C44" s="7"/>
      <c r="D44" s="114"/>
      <c r="E44" s="114"/>
      <c r="F44" s="121"/>
      <c r="G44" s="7"/>
      <c r="H44" s="8"/>
      <c r="I44" s="4">
        <f t="shared" si="0"/>
        <v>0</v>
      </c>
      <c r="J44" s="122"/>
      <c r="K44" s="114"/>
      <c r="L44" s="7"/>
      <c r="M44" s="114"/>
      <c r="N44" s="114"/>
      <c r="O44" s="121"/>
      <c r="P44" s="7"/>
      <c r="Q44" s="8"/>
      <c r="R44" s="4">
        <f t="shared" si="2"/>
        <v>0</v>
      </c>
    </row>
    <row r="45" spans="1:18" x14ac:dyDescent="0.2">
      <c r="A45" s="122"/>
      <c r="B45" s="114"/>
      <c r="C45" s="7"/>
      <c r="D45" s="114"/>
      <c r="E45" s="114"/>
      <c r="F45" s="121"/>
      <c r="G45" s="7"/>
      <c r="H45" s="8"/>
      <c r="I45" s="4">
        <f t="shared" si="0"/>
        <v>0</v>
      </c>
      <c r="J45" s="122"/>
      <c r="K45" s="114"/>
      <c r="L45" s="7"/>
      <c r="M45" s="114"/>
      <c r="N45" s="114"/>
      <c r="O45" s="121"/>
      <c r="P45" s="7"/>
      <c r="Q45" s="8"/>
      <c r="R45" s="4">
        <f t="shared" si="2"/>
        <v>0</v>
      </c>
    </row>
    <row r="46" spans="1:18" x14ac:dyDescent="0.2">
      <c r="A46" s="122"/>
      <c r="B46" s="114"/>
      <c r="C46" s="7"/>
      <c r="D46" s="114"/>
      <c r="E46" s="114"/>
      <c r="F46" s="121"/>
      <c r="G46" s="7"/>
      <c r="H46" s="8"/>
      <c r="I46" s="4">
        <f t="shared" si="0"/>
        <v>0</v>
      </c>
      <c r="J46" s="122"/>
      <c r="K46" s="114"/>
      <c r="L46" s="7"/>
      <c r="M46" s="114"/>
      <c r="N46" s="114"/>
      <c r="O46" s="121"/>
      <c r="P46" s="7"/>
      <c r="Q46" s="8"/>
      <c r="R46" s="4">
        <f t="shared" si="2"/>
        <v>0</v>
      </c>
    </row>
    <row r="47" spans="1:18" x14ac:dyDescent="0.2">
      <c r="A47" s="122"/>
      <c r="B47" s="114"/>
      <c r="C47" s="7"/>
      <c r="D47" s="114"/>
      <c r="E47" s="114"/>
      <c r="F47" s="121"/>
      <c r="G47" s="7"/>
      <c r="H47" s="8"/>
      <c r="I47" s="4">
        <f t="shared" si="0"/>
        <v>0</v>
      </c>
      <c r="J47" s="122"/>
      <c r="K47" s="114"/>
      <c r="L47" s="7"/>
      <c r="M47" s="114"/>
      <c r="N47" s="114"/>
      <c r="O47" s="121"/>
      <c r="P47" s="7"/>
      <c r="Q47" s="8"/>
      <c r="R47" s="4">
        <f t="shared" si="2"/>
        <v>0</v>
      </c>
    </row>
    <row r="48" spans="1:18" x14ac:dyDescent="0.2">
      <c r="A48" s="122"/>
      <c r="B48" s="114"/>
      <c r="C48" s="7"/>
      <c r="D48" s="114"/>
      <c r="E48" s="114"/>
      <c r="F48" s="121"/>
      <c r="G48" s="7"/>
      <c r="H48" s="8"/>
      <c r="I48" s="4">
        <f t="shared" si="0"/>
        <v>0</v>
      </c>
      <c r="J48" s="122"/>
      <c r="K48" s="114"/>
      <c r="L48" s="7"/>
      <c r="M48" s="114"/>
      <c r="N48" s="114"/>
      <c r="O48" s="121"/>
      <c r="P48" s="7"/>
      <c r="Q48" s="8"/>
      <c r="R48" s="4">
        <f t="shared" si="2"/>
        <v>0</v>
      </c>
    </row>
    <row r="49" spans="1:18" ht="16" thickBot="1" x14ac:dyDescent="0.25">
      <c r="A49" s="79"/>
      <c r="B49" s="80"/>
      <c r="C49" s="10"/>
      <c r="D49" s="114"/>
      <c r="E49" s="114"/>
      <c r="F49" s="121"/>
      <c r="G49" s="10"/>
      <c r="H49" s="11"/>
      <c r="I49" s="12">
        <f t="shared" si="0"/>
        <v>0</v>
      </c>
      <c r="J49" s="122"/>
      <c r="K49" s="114"/>
      <c r="L49" s="10"/>
      <c r="M49" s="114"/>
      <c r="N49" s="114"/>
      <c r="O49" s="121"/>
      <c r="P49" s="7"/>
      <c r="Q49" s="8"/>
      <c r="R49" s="4">
        <f t="shared" si="2"/>
        <v>0</v>
      </c>
    </row>
    <row r="50" spans="1:18" ht="16" thickBot="1" x14ac:dyDescent="0.25">
      <c r="A50" s="125"/>
      <c r="B50" s="126"/>
      <c r="C50" s="16"/>
      <c r="D50" s="127"/>
      <c r="E50" s="127"/>
      <c r="F50" s="126"/>
      <c r="G50" s="128" t="s">
        <v>38</v>
      </c>
      <c r="H50" s="126"/>
      <c r="I50" s="13">
        <f>SUM(I12:I49)</f>
        <v>0.51388888888888884</v>
      </c>
      <c r="J50" s="125"/>
      <c r="K50" s="126"/>
      <c r="L50" s="16"/>
      <c r="M50" s="127"/>
      <c r="N50" s="127"/>
      <c r="O50" s="126"/>
      <c r="P50" s="128" t="s">
        <v>38</v>
      </c>
      <c r="Q50" s="126"/>
      <c r="R50" s="13">
        <f>SUM(R12:R49)</f>
        <v>0.46527777777777773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2" t="s">
        <v>86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2" t="s">
        <v>46</v>
      </c>
      <c r="T1" s="83"/>
      <c r="U1" s="83"/>
      <c r="V1" s="83"/>
      <c r="W1" s="83"/>
    </row>
    <row r="2" spans="1:23" ht="16" thickBot="1" x14ac:dyDescent="0.2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3"/>
      <c r="T2" s="83"/>
      <c r="U2" s="83"/>
      <c r="V2" s="83"/>
      <c r="W2" s="83"/>
    </row>
    <row r="3" spans="1:23" ht="16" thickTop="1" x14ac:dyDescent="0.2">
      <c r="A3" s="85" t="s">
        <v>6</v>
      </c>
      <c r="B3" s="86"/>
      <c r="C3" s="133" t="s">
        <v>87</v>
      </c>
      <c r="D3" s="88"/>
      <c r="E3" s="88"/>
      <c r="F3" s="88"/>
      <c r="G3" s="88"/>
      <c r="H3" s="88"/>
      <c r="I3" s="89"/>
      <c r="J3" s="85" t="s">
        <v>6</v>
      </c>
      <c r="K3" s="86"/>
      <c r="L3" s="134" t="s">
        <v>87</v>
      </c>
      <c r="M3" s="88"/>
      <c r="N3" s="88"/>
      <c r="O3" s="88"/>
      <c r="P3" s="88"/>
      <c r="Q3" s="88"/>
      <c r="R3" s="89"/>
      <c r="S3" s="90"/>
      <c r="T3" s="83"/>
      <c r="U3" s="83"/>
      <c r="V3" s="83"/>
      <c r="W3" s="83"/>
    </row>
    <row r="4" spans="1:23" x14ac:dyDescent="0.2">
      <c r="A4" s="91" t="s">
        <v>7</v>
      </c>
      <c r="B4" s="92"/>
      <c r="C4" s="73" t="s">
        <v>44</v>
      </c>
      <c r="D4" s="73"/>
      <c r="E4" s="73"/>
      <c r="F4" s="73"/>
      <c r="G4" s="73"/>
      <c r="H4" s="73"/>
      <c r="I4" s="74"/>
      <c r="J4" s="91" t="s">
        <v>7</v>
      </c>
      <c r="K4" s="92"/>
      <c r="L4" s="73" t="s">
        <v>44</v>
      </c>
      <c r="M4" s="73"/>
      <c r="N4" s="73"/>
      <c r="O4" s="73"/>
      <c r="P4" s="73"/>
      <c r="Q4" s="73"/>
      <c r="R4" s="74"/>
      <c r="S4" s="90"/>
      <c r="T4" s="83"/>
      <c r="U4" s="83"/>
      <c r="V4" s="83"/>
      <c r="W4" s="83"/>
    </row>
    <row r="5" spans="1:23" x14ac:dyDescent="0.2">
      <c r="A5" s="75" t="s">
        <v>2</v>
      </c>
      <c r="B5" s="76"/>
      <c r="C5" s="77" t="s">
        <v>3</v>
      </c>
      <c r="D5" s="77"/>
      <c r="E5" s="77"/>
      <c r="F5" s="77"/>
      <c r="G5" s="77"/>
      <c r="H5" s="77"/>
      <c r="I5" s="78"/>
      <c r="J5" s="75" t="s">
        <v>2</v>
      </c>
      <c r="K5" s="76"/>
      <c r="L5" s="77" t="s">
        <v>5</v>
      </c>
      <c r="M5" s="77"/>
      <c r="N5" s="77"/>
      <c r="O5" s="77"/>
      <c r="P5" s="77"/>
      <c r="Q5" s="77"/>
      <c r="R5" s="78"/>
      <c r="S5" s="90"/>
      <c r="T5" s="83"/>
      <c r="U5" s="83"/>
      <c r="V5" s="83"/>
      <c r="W5" s="83"/>
    </row>
    <row r="6" spans="1:23" ht="16" thickBot="1" x14ac:dyDescent="0.25">
      <c r="A6" s="79"/>
      <c r="B6" s="80"/>
      <c r="C6" s="80"/>
      <c r="D6" s="80"/>
      <c r="E6" s="80"/>
      <c r="F6" s="80"/>
      <c r="G6" s="80"/>
      <c r="H6" s="80"/>
      <c r="I6" s="81"/>
      <c r="J6" s="79"/>
      <c r="K6" s="80"/>
      <c r="L6" s="80"/>
      <c r="M6" s="80"/>
      <c r="N6" s="80"/>
      <c r="O6" s="80"/>
      <c r="P6" s="80"/>
      <c r="Q6" s="80"/>
      <c r="R6" s="81"/>
      <c r="S6" s="90"/>
      <c r="T6" s="83"/>
      <c r="U6" s="83"/>
      <c r="V6" s="83"/>
      <c r="W6" s="83"/>
    </row>
    <row r="7" spans="1:23" ht="16" thickBot="1" x14ac:dyDescent="0.25">
      <c r="A7" s="104" t="s">
        <v>8</v>
      </c>
      <c r="B7" s="105"/>
      <c r="C7" s="110" t="s">
        <v>43</v>
      </c>
      <c r="D7" s="93" t="s">
        <v>9</v>
      </c>
      <c r="E7" s="93"/>
      <c r="F7" s="94"/>
      <c r="G7" s="36" t="s">
        <v>10</v>
      </c>
      <c r="H7" s="37"/>
      <c r="I7" s="99"/>
      <c r="J7" s="104" t="s">
        <v>8</v>
      </c>
      <c r="K7" s="105"/>
      <c r="L7" s="110" t="s">
        <v>43</v>
      </c>
      <c r="M7" s="93" t="s">
        <v>9</v>
      </c>
      <c r="N7" s="93"/>
      <c r="O7" s="94"/>
      <c r="P7" s="36" t="s">
        <v>10</v>
      </c>
      <c r="Q7" s="37"/>
      <c r="R7" s="99"/>
      <c r="S7" s="90"/>
      <c r="T7" s="83"/>
      <c r="U7" s="83"/>
      <c r="V7" s="83"/>
      <c r="W7" s="83"/>
    </row>
    <row r="8" spans="1:23" ht="16" thickTop="1" x14ac:dyDescent="0.2">
      <c r="A8" s="106"/>
      <c r="B8" s="107"/>
      <c r="C8" s="111"/>
      <c r="D8" s="95"/>
      <c r="E8" s="95"/>
      <c r="F8" s="96"/>
      <c r="G8" s="100" t="s">
        <v>11</v>
      </c>
      <c r="H8" s="100" t="s">
        <v>12</v>
      </c>
      <c r="I8" s="102" t="s">
        <v>13</v>
      </c>
      <c r="J8" s="106"/>
      <c r="K8" s="107"/>
      <c r="L8" s="111"/>
      <c r="M8" s="95"/>
      <c r="N8" s="95"/>
      <c r="O8" s="96"/>
      <c r="P8" s="100" t="s">
        <v>11</v>
      </c>
      <c r="Q8" s="100" t="s">
        <v>12</v>
      </c>
      <c r="R8" s="102" t="s">
        <v>13</v>
      </c>
      <c r="S8" s="90"/>
      <c r="T8" s="83"/>
      <c r="U8" s="83"/>
      <c r="V8" s="83"/>
      <c r="W8" s="83"/>
    </row>
    <row r="9" spans="1:23" x14ac:dyDescent="0.2">
      <c r="A9" s="106"/>
      <c r="B9" s="107"/>
      <c r="C9" s="111"/>
      <c r="D9" s="95"/>
      <c r="E9" s="95"/>
      <c r="F9" s="96"/>
      <c r="G9" s="100"/>
      <c r="H9" s="100"/>
      <c r="I9" s="102"/>
      <c r="J9" s="106"/>
      <c r="K9" s="107"/>
      <c r="L9" s="111"/>
      <c r="M9" s="95"/>
      <c r="N9" s="95"/>
      <c r="O9" s="96"/>
      <c r="P9" s="100"/>
      <c r="Q9" s="100"/>
      <c r="R9" s="102"/>
      <c r="S9" s="90"/>
      <c r="T9" s="83"/>
      <c r="U9" s="83"/>
      <c r="V9" s="83"/>
      <c r="W9" s="83"/>
    </row>
    <row r="10" spans="1:23" x14ac:dyDescent="0.2">
      <c r="A10" s="106"/>
      <c r="B10" s="107"/>
      <c r="C10" s="111"/>
      <c r="D10" s="95"/>
      <c r="E10" s="95"/>
      <c r="F10" s="96"/>
      <c r="G10" s="100"/>
      <c r="H10" s="100"/>
      <c r="I10" s="102"/>
      <c r="J10" s="106"/>
      <c r="K10" s="107"/>
      <c r="L10" s="111"/>
      <c r="M10" s="95"/>
      <c r="N10" s="95"/>
      <c r="O10" s="96"/>
      <c r="P10" s="100"/>
      <c r="Q10" s="100"/>
      <c r="R10" s="102"/>
      <c r="S10" s="90"/>
      <c r="T10" s="83"/>
      <c r="U10" s="83"/>
      <c r="V10" s="83"/>
      <c r="W10" s="83"/>
    </row>
    <row r="11" spans="1:23" ht="16" thickBot="1" x14ac:dyDescent="0.25">
      <c r="A11" s="108"/>
      <c r="B11" s="109"/>
      <c r="C11" s="112"/>
      <c r="D11" s="97"/>
      <c r="E11" s="97"/>
      <c r="F11" s="98"/>
      <c r="G11" s="101"/>
      <c r="H11" s="101"/>
      <c r="I11" s="103"/>
      <c r="J11" s="108"/>
      <c r="K11" s="109"/>
      <c r="L11" s="112"/>
      <c r="M11" s="97"/>
      <c r="N11" s="97"/>
      <c r="O11" s="98"/>
      <c r="P11" s="101"/>
      <c r="Q11" s="101"/>
      <c r="R11" s="103"/>
      <c r="S11" s="90"/>
      <c r="T11" s="83"/>
      <c r="U11" s="83"/>
      <c r="V11" s="83"/>
      <c r="W11" s="83"/>
    </row>
    <row r="12" spans="1:23" x14ac:dyDescent="0.2">
      <c r="A12" s="116" t="s">
        <v>99</v>
      </c>
      <c r="B12" s="135"/>
      <c r="C12" s="14"/>
      <c r="D12" s="118" t="s">
        <v>100</v>
      </c>
      <c r="E12" s="118"/>
      <c r="F12" s="119"/>
      <c r="G12" s="2">
        <v>0.8125</v>
      </c>
      <c r="H12" s="3">
        <v>0.83333333333333337</v>
      </c>
      <c r="I12" s="4">
        <f>H12-G12</f>
        <v>2.083333333333337E-2</v>
      </c>
      <c r="J12" s="116">
        <v>44944</v>
      </c>
      <c r="K12" s="117"/>
      <c r="L12" s="14"/>
      <c r="M12" s="73" t="s">
        <v>89</v>
      </c>
      <c r="N12" s="73"/>
      <c r="O12" s="115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2">
      <c r="A13" s="113" t="s">
        <v>94</v>
      </c>
      <c r="B13" s="120"/>
      <c r="C13" s="7"/>
      <c r="D13" s="73" t="s">
        <v>101</v>
      </c>
      <c r="E13" s="73"/>
      <c r="F13" s="115"/>
      <c r="G13" s="5">
        <v>0.53125</v>
      </c>
      <c r="H13" s="6">
        <v>0.64236111111111105</v>
      </c>
      <c r="I13" s="4">
        <f>H13-G13</f>
        <v>0.11111111111111105</v>
      </c>
      <c r="J13" s="113">
        <v>44948</v>
      </c>
      <c r="K13" s="114"/>
      <c r="L13" s="7"/>
      <c r="M13" s="73" t="s">
        <v>91</v>
      </c>
      <c r="N13" s="73"/>
      <c r="O13" s="115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2">
      <c r="A14" s="113" t="s">
        <v>95</v>
      </c>
      <c r="B14" s="120"/>
      <c r="C14" s="7"/>
      <c r="D14" s="73" t="s">
        <v>103</v>
      </c>
      <c r="E14" s="73"/>
      <c r="F14" s="115"/>
      <c r="G14" s="5">
        <v>0.58333333333333337</v>
      </c>
      <c r="H14" s="6">
        <v>0.70833333333333337</v>
      </c>
      <c r="I14" s="4">
        <f t="shared" ref="I14:I49" si="0">H14-G14</f>
        <v>0.125</v>
      </c>
      <c r="J14" s="113">
        <v>44949</v>
      </c>
      <c r="K14" s="114"/>
      <c r="L14" s="7"/>
      <c r="M14" s="73" t="s">
        <v>90</v>
      </c>
      <c r="N14" s="73"/>
      <c r="O14" s="115"/>
      <c r="P14" s="5">
        <v>0.75</v>
      </c>
      <c r="Q14" s="6">
        <v>0.875</v>
      </c>
      <c r="R14" s="4">
        <f>SUM(Q14-P14)</f>
        <v>0.125</v>
      </c>
    </row>
    <row r="15" spans="1:23" x14ac:dyDescent="0.2">
      <c r="A15" s="113" t="s">
        <v>96</v>
      </c>
      <c r="B15" s="120"/>
      <c r="C15" s="7"/>
      <c r="D15" s="73" t="s">
        <v>102</v>
      </c>
      <c r="E15" s="73"/>
      <c r="F15" s="115"/>
      <c r="G15" s="5">
        <v>0.41666666666666669</v>
      </c>
      <c r="H15" s="6">
        <v>0.52083333333333337</v>
      </c>
      <c r="I15" s="4">
        <f t="shared" si="0"/>
        <v>0.10416666666666669</v>
      </c>
      <c r="J15" s="113">
        <v>44949</v>
      </c>
      <c r="K15" s="120"/>
      <c r="L15" s="7"/>
      <c r="M15" s="73" t="s">
        <v>92</v>
      </c>
      <c r="N15" s="73"/>
      <c r="O15" s="115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2">
      <c r="A16" s="113" t="s">
        <v>97</v>
      </c>
      <c r="B16" s="120"/>
      <c r="C16" s="7"/>
      <c r="D16" s="73" t="s">
        <v>104</v>
      </c>
      <c r="E16" s="73"/>
      <c r="F16" s="115"/>
      <c r="G16" s="5">
        <v>0.83333333333333337</v>
      </c>
      <c r="H16" s="6">
        <v>0.94930555555555562</v>
      </c>
      <c r="I16" s="4">
        <f t="shared" si="0"/>
        <v>0.11597222222222225</v>
      </c>
      <c r="J16" s="113">
        <v>44950</v>
      </c>
      <c r="K16" s="114"/>
      <c r="L16" s="7"/>
      <c r="M16" s="73" t="s">
        <v>93</v>
      </c>
      <c r="N16" s="73"/>
      <c r="O16" s="115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2">
      <c r="A17" s="113" t="s">
        <v>98</v>
      </c>
      <c r="B17" s="114"/>
      <c r="C17" s="7"/>
      <c r="D17" s="73" t="s">
        <v>105</v>
      </c>
      <c r="E17" s="73"/>
      <c r="F17" s="115"/>
      <c r="G17" s="5">
        <v>0.36805555555555558</v>
      </c>
      <c r="H17" s="6">
        <v>0.53125</v>
      </c>
      <c r="I17" s="4">
        <f t="shared" si="0"/>
        <v>0.16319444444444442</v>
      </c>
      <c r="J17" s="113"/>
      <c r="K17" s="114"/>
      <c r="L17" s="7"/>
      <c r="M17" s="73"/>
      <c r="N17" s="73"/>
      <c r="O17" s="115"/>
      <c r="P17" s="5"/>
      <c r="Q17" s="6"/>
      <c r="R17" s="4">
        <v>0</v>
      </c>
    </row>
    <row r="18" spans="1:18" x14ac:dyDescent="0.2">
      <c r="A18" s="113"/>
      <c r="B18" s="114"/>
      <c r="C18" s="7"/>
      <c r="D18" s="73"/>
      <c r="E18" s="73"/>
      <c r="F18" s="115"/>
      <c r="G18" s="5"/>
      <c r="H18" s="6"/>
      <c r="I18" s="4">
        <f t="shared" si="0"/>
        <v>0</v>
      </c>
      <c r="J18" s="113"/>
      <c r="K18" s="114"/>
      <c r="L18" s="7"/>
      <c r="M18" s="73"/>
      <c r="N18" s="73"/>
      <c r="O18" s="115"/>
      <c r="P18" s="5" t="s">
        <v>88</v>
      </c>
      <c r="Q18" s="6"/>
      <c r="R18" s="4">
        <v>0</v>
      </c>
    </row>
    <row r="19" spans="1:18" x14ac:dyDescent="0.2">
      <c r="A19" s="113"/>
      <c r="B19" s="114"/>
      <c r="C19" s="7"/>
      <c r="D19" s="73"/>
      <c r="E19" s="73"/>
      <c r="F19" s="115"/>
      <c r="G19" s="5"/>
      <c r="H19" s="6"/>
      <c r="I19" s="4">
        <f t="shared" si="0"/>
        <v>0</v>
      </c>
      <c r="J19" s="113"/>
      <c r="K19" s="114"/>
      <c r="L19" s="7"/>
      <c r="M19" s="73"/>
      <c r="N19" s="73"/>
      <c r="O19" s="115"/>
      <c r="P19" s="5"/>
      <c r="Q19" s="6"/>
      <c r="R19" s="4">
        <f t="shared" ref="R19:R38" si="1">Q19-P19</f>
        <v>0</v>
      </c>
    </row>
    <row r="20" spans="1:18" x14ac:dyDescent="0.2">
      <c r="A20" s="113"/>
      <c r="B20" s="114"/>
      <c r="C20" s="7"/>
      <c r="D20" s="73"/>
      <c r="E20" s="73"/>
      <c r="F20" s="115"/>
      <c r="G20" s="5"/>
      <c r="H20" s="6"/>
      <c r="I20" s="4">
        <f t="shared" si="0"/>
        <v>0</v>
      </c>
      <c r="J20" s="113"/>
      <c r="K20" s="114"/>
      <c r="L20" s="7"/>
      <c r="M20" s="114"/>
      <c r="N20" s="114"/>
      <c r="O20" s="121"/>
      <c r="P20" s="5"/>
      <c r="Q20" s="6"/>
      <c r="R20" s="4">
        <f t="shared" si="1"/>
        <v>0</v>
      </c>
    </row>
    <row r="21" spans="1:18" x14ac:dyDescent="0.2">
      <c r="A21" s="113"/>
      <c r="B21" s="114"/>
      <c r="C21" s="7"/>
      <c r="D21" s="73"/>
      <c r="E21" s="73"/>
      <c r="F21" s="115"/>
      <c r="G21" s="5"/>
      <c r="H21" s="6"/>
      <c r="I21" s="4">
        <f t="shared" si="0"/>
        <v>0</v>
      </c>
      <c r="J21" s="113"/>
      <c r="K21" s="114"/>
      <c r="L21" s="7"/>
      <c r="M21" s="114"/>
      <c r="N21" s="114"/>
      <c r="O21" s="121"/>
      <c r="P21" s="5"/>
      <c r="Q21" s="6"/>
      <c r="R21" s="4">
        <f t="shared" si="1"/>
        <v>0</v>
      </c>
    </row>
    <row r="22" spans="1:18" x14ac:dyDescent="0.2">
      <c r="A22" s="113"/>
      <c r="B22" s="114"/>
      <c r="C22" s="7"/>
      <c r="D22" s="114"/>
      <c r="E22" s="114"/>
      <c r="F22" s="121"/>
      <c r="G22" s="5"/>
      <c r="H22" s="6"/>
      <c r="I22" s="4">
        <f t="shared" si="0"/>
        <v>0</v>
      </c>
      <c r="J22" s="113"/>
      <c r="K22" s="114"/>
      <c r="L22" s="7"/>
      <c r="M22" s="114"/>
      <c r="N22" s="114"/>
      <c r="O22" s="121"/>
      <c r="P22" s="5"/>
      <c r="Q22" s="6"/>
      <c r="R22" s="4">
        <f t="shared" si="1"/>
        <v>0</v>
      </c>
    </row>
    <row r="23" spans="1:18" x14ac:dyDescent="0.2">
      <c r="A23" s="113"/>
      <c r="B23" s="114"/>
      <c r="C23" s="7"/>
      <c r="D23" s="114"/>
      <c r="E23" s="114"/>
      <c r="F23" s="121"/>
      <c r="G23" s="5"/>
      <c r="H23" s="6"/>
      <c r="I23" s="4">
        <f t="shared" si="0"/>
        <v>0</v>
      </c>
      <c r="J23" s="113"/>
      <c r="K23" s="114"/>
      <c r="L23" s="7"/>
      <c r="M23" s="114"/>
      <c r="N23" s="114"/>
      <c r="O23" s="121"/>
      <c r="P23" s="5"/>
      <c r="Q23" s="6"/>
      <c r="R23" s="4">
        <f t="shared" si="1"/>
        <v>0</v>
      </c>
    </row>
    <row r="24" spans="1:18" x14ac:dyDescent="0.2">
      <c r="A24" s="113"/>
      <c r="B24" s="114"/>
      <c r="C24" s="7"/>
      <c r="D24" s="114"/>
      <c r="E24" s="114"/>
      <c r="F24" s="121"/>
      <c r="G24" s="5"/>
      <c r="H24" s="6"/>
      <c r="I24" s="4">
        <f t="shared" si="0"/>
        <v>0</v>
      </c>
      <c r="J24" s="113"/>
      <c r="K24" s="114"/>
      <c r="L24" s="7"/>
      <c r="M24" s="114"/>
      <c r="N24" s="114"/>
      <c r="O24" s="121"/>
      <c r="P24" s="5"/>
      <c r="Q24" s="6"/>
      <c r="R24" s="4">
        <f t="shared" si="1"/>
        <v>0</v>
      </c>
    </row>
    <row r="25" spans="1:18" x14ac:dyDescent="0.2">
      <c r="A25" s="113"/>
      <c r="B25" s="114"/>
      <c r="C25" s="7"/>
      <c r="D25" s="114"/>
      <c r="E25" s="114"/>
      <c r="F25" s="121"/>
      <c r="G25" s="5"/>
      <c r="H25" s="6"/>
      <c r="I25" s="4">
        <f t="shared" si="0"/>
        <v>0</v>
      </c>
      <c r="J25" s="113"/>
      <c r="K25" s="114"/>
      <c r="L25" s="7"/>
      <c r="M25" s="114"/>
      <c r="N25" s="114"/>
      <c r="O25" s="121"/>
      <c r="P25" s="5"/>
      <c r="Q25" s="6"/>
      <c r="R25" s="4">
        <f t="shared" si="1"/>
        <v>0</v>
      </c>
    </row>
    <row r="26" spans="1:18" x14ac:dyDescent="0.2">
      <c r="A26" s="122"/>
      <c r="B26" s="114"/>
      <c r="C26" s="7"/>
      <c r="D26" s="114"/>
      <c r="E26" s="114"/>
      <c r="F26" s="121"/>
      <c r="G26" s="7"/>
      <c r="H26" s="8"/>
      <c r="I26" s="4">
        <f t="shared" si="0"/>
        <v>0</v>
      </c>
      <c r="J26" s="122"/>
      <c r="K26" s="114"/>
      <c r="L26" s="7"/>
      <c r="M26" s="114"/>
      <c r="N26" s="114"/>
      <c r="O26" s="121"/>
      <c r="P26" s="7"/>
      <c r="Q26" s="8"/>
      <c r="R26" s="4">
        <f t="shared" si="1"/>
        <v>0</v>
      </c>
    </row>
    <row r="27" spans="1:18" x14ac:dyDescent="0.2">
      <c r="A27" s="122"/>
      <c r="B27" s="114"/>
      <c r="C27" s="7"/>
      <c r="D27" s="114"/>
      <c r="E27" s="114"/>
      <c r="F27" s="121"/>
      <c r="G27" s="7"/>
      <c r="H27" s="8"/>
      <c r="I27" s="4">
        <f t="shared" si="0"/>
        <v>0</v>
      </c>
      <c r="J27" s="122"/>
      <c r="K27" s="114"/>
      <c r="L27" s="7"/>
      <c r="M27" s="114"/>
      <c r="N27" s="114"/>
      <c r="O27" s="121"/>
      <c r="P27" s="7"/>
      <c r="Q27" s="8"/>
      <c r="R27" s="4">
        <f t="shared" si="1"/>
        <v>0</v>
      </c>
    </row>
    <row r="28" spans="1:18" x14ac:dyDescent="0.2">
      <c r="A28" s="122"/>
      <c r="B28" s="114"/>
      <c r="C28" s="7"/>
      <c r="D28" s="114"/>
      <c r="E28" s="114"/>
      <c r="F28" s="121"/>
      <c r="G28" s="7"/>
      <c r="H28" s="8"/>
      <c r="I28" s="4">
        <f t="shared" si="0"/>
        <v>0</v>
      </c>
      <c r="J28" s="122"/>
      <c r="K28" s="114"/>
      <c r="L28" s="7"/>
      <c r="M28" s="114"/>
      <c r="N28" s="114"/>
      <c r="O28" s="121"/>
      <c r="P28" s="7"/>
      <c r="Q28" s="8"/>
      <c r="R28" s="4">
        <f t="shared" si="1"/>
        <v>0</v>
      </c>
    </row>
    <row r="29" spans="1:18" x14ac:dyDescent="0.2">
      <c r="A29" s="122"/>
      <c r="B29" s="114"/>
      <c r="C29" s="7"/>
      <c r="D29" s="114"/>
      <c r="E29" s="114"/>
      <c r="F29" s="121"/>
      <c r="G29" s="7"/>
      <c r="H29" s="8"/>
      <c r="I29" s="4">
        <f t="shared" si="0"/>
        <v>0</v>
      </c>
      <c r="J29" s="122"/>
      <c r="K29" s="114"/>
      <c r="L29" s="7"/>
      <c r="M29" s="114"/>
      <c r="N29" s="114"/>
      <c r="O29" s="121"/>
      <c r="P29" s="7"/>
      <c r="Q29" s="8"/>
      <c r="R29" s="4">
        <f t="shared" si="1"/>
        <v>0</v>
      </c>
    </row>
    <row r="30" spans="1:18" x14ac:dyDescent="0.2">
      <c r="A30" s="122"/>
      <c r="B30" s="114"/>
      <c r="C30" s="7"/>
      <c r="D30" s="114"/>
      <c r="E30" s="114"/>
      <c r="F30" s="121"/>
      <c r="G30" s="7"/>
      <c r="H30" s="8"/>
      <c r="I30" s="4">
        <f t="shared" si="0"/>
        <v>0</v>
      </c>
      <c r="J30" s="122"/>
      <c r="K30" s="114"/>
      <c r="L30" s="7"/>
      <c r="M30" s="114"/>
      <c r="N30" s="114"/>
      <c r="O30" s="121"/>
      <c r="P30" s="7"/>
      <c r="Q30" s="8"/>
      <c r="R30" s="4">
        <f t="shared" si="1"/>
        <v>0</v>
      </c>
    </row>
    <row r="31" spans="1:18" x14ac:dyDescent="0.2">
      <c r="A31" s="122"/>
      <c r="B31" s="114"/>
      <c r="C31" s="7"/>
      <c r="D31" s="114"/>
      <c r="E31" s="114"/>
      <c r="F31" s="121"/>
      <c r="G31" s="7"/>
      <c r="H31" s="8"/>
      <c r="I31" s="4">
        <f t="shared" si="0"/>
        <v>0</v>
      </c>
      <c r="J31" s="122"/>
      <c r="K31" s="114"/>
      <c r="L31" s="7"/>
      <c r="M31" s="114"/>
      <c r="N31" s="114"/>
      <c r="O31" s="121"/>
      <c r="P31" s="7"/>
      <c r="Q31" s="8"/>
      <c r="R31" s="4">
        <f t="shared" si="1"/>
        <v>0</v>
      </c>
    </row>
    <row r="32" spans="1:18" x14ac:dyDescent="0.2">
      <c r="A32" s="122"/>
      <c r="B32" s="114"/>
      <c r="C32" s="7"/>
      <c r="D32" s="114"/>
      <c r="E32" s="114"/>
      <c r="F32" s="121"/>
      <c r="G32" s="7"/>
      <c r="H32" s="8"/>
      <c r="I32" s="4">
        <f t="shared" si="0"/>
        <v>0</v>
      </c>
      <c r="J32" s="122"/>
      <c r="K32" s="114"/>
      <c r="L32" s="7"/>
      <c r="M32" s="114"/>
      <c r="N32" s="114"/>
      <c r="O32" s="121"/>
      <c r="P32" s="7"/>
      <c r="Q32" s="8"/>
      <c r="R32" s="4">
        <f t="shared" si="1"/>
        <v>0</v>
      </c>
    </row>
    <row r="33" spans="1:18" x14ac:dyDescent="0.2">
      <c r="A33" s="122"/>
      <c r="B33" s="114"/>
      <c r="C33" s="7"/>
      <c r="D33" s="114"/>
      <c r="E33" s="114"/>
      <c r="F33" s="121"/>
      <c r="G33" s="7"/>
      <c r="H33" s="8"/>
      <c r="I33" s="4">
        <f t="shared" si="0"/>
        <v>0</v>
      </c>
      <c r="J33" s="122"/>
      <c r="K33" s="114"/>
      <c r="L33" s="7"/>
      <c r="M33" s="114"/>
      <c r="N33" s="114"/>
      <c r="O33" s="121"/>
      <c r="P33" s="7"/>
      <c r="Q33" s="8"/>
      <c r="R33" s="4">
        <f t="shared" si="1"/>
        <v>0</v>
      </c>
    </row>
    <row r="34" spans="1:18" x14ac:dyDescent="0.2">
      <c r="A34" s="122"/>
      <c r="B34" s="114"/>
      <c r="C34" s="7"/>
      <c r="D34" s="114"/>
      <c r="E34" s="114"/>
      <c r="F34" s="121"/>
      <c r="G34" s="7"/>
      <c r="H34" s="8"/>
      <c r="I34" s="4">
        <f t="shared" si="0"/>
        <v>0</v>
      </c>
      <c r="J34" s="122"/>
      <c r="K34" s="114"/>
      <c r="L34" s="7"/>
      <c r="M34" s="114"/>
      <c r="N34" s="114"/>
      <c r="O34" s="121"/>
      <c r="P34" s="7"/>
      <c r="Q34" s="8"/>
      <c r="R34" s="4">
        <f t="shared" si="1"/>
        <v>0</v>
      </c>
    </row>
    <row r="35" spans="1:18" x14ac:dyDescent="0.2">
      <c r="A35" s="122"/>
      <c r="B35" s="114"/>
      <c r="C35" s="7"/>
      <c r="D35" s="114"/>
      <c r="E35" s="114"/>
      <c r="F35" s="121"/>
      <c r="G35" s="7"/>
      <c r="H35" s="8"/>
      <c r="I35" s="4">
        <f t="shared" si="0"/>
        <v>0</v>
      </c>
      <c r="J35" s="122"/>
      <c r="K35" s="114"/>
      <c r="L35" s="7"/>
      <c r="M35" s="114"/>
      <c r="N35" s="114"/>
      <c r="O35" s="121"/>
      <c r="P35" s="7"/>
      <c r="Q35" s="8"/>
      <c r="R35" s="4">
        <f t="shared" si="1"/>
        <v>0</v>
      </c>
    </row>
    <row r="36" spans="1:18" x14ac:dyDescent="0.2">
      <c r="A36" s="122"/>
      <c r="B36" s="114"/>
      <c r="C36" s="7"/>
      <c r="D36" s="114"/>
      <c r="E36" s="114"/>
      <c r="F36" s="121"/>
      <c r="G36" s="7"/>
      <c r="H36" s="8"/>
      <c r="I36" s="4">
        <f t="shared" si="0"/>
        <v>0</v>
      </c>
      <c r="J36" s="122"/>
      <c r="K36" s="114"/>
      <c r="L36" s="7"/>
      <c r="M36" s="114"/>
      <c r="N36" s="114"/>
      <c r="O36" s="121"/>
      <c r="P36" s="7"/>
      <c r="Q36" s="8"/>
      <c r="R36" s="4">
        <f t="shared" si="1"/>
        <v>0</v>
      </c>
    </row>
    <row r="37" spans="1:18" x14ac:dyDescent="0.2">
      <c r="A37" s="122"/>
      <c r="B37" s="114"/>
      <c r="C37" s="7"/>
      <c r="D37" s="114"/>
      <c r="E37" s="114"/>
      <c r="F37" s="121"/>
      <c r="G37" s="7"/>
      <c r="H37" s="8"/>
      <c r="I37" s="4">
        <f t="shared" si="0"/>
        <v>0</v>
      </c>
      <c r="J37" s="122"/>
      <c r="K37" s="114"/>
      <c r="L37" s="7"/>
      <c r="M37" s="114"/>
      <c r="N37" s="114"/>
      <c r="O37" s="121"/>
      <c r="P37" s="7"/>
      <c r="Q37" s="8"/>
      <c r="R37" s="4">
        <f t="shared" si="1"/>
        <v>0</v>
      </c>
    </row>
    <row r="38" spans="1:18" x14ac:dyDescent="0.2">
      <c r="A38" s="122"/>
      <c r="B38" s="114"/>
      <c r="C38" s="7"/>
      <c r="D38" s="114"/>
      <c r="E38" s="114"/>
      <c r="F38" s="121"/>
      <c r="G38" s="7"/>
      <c r="H38" s="8"/>
      <c r="I38" s="4">
        <f t="shared" si="0"/>
        <v>0</v>
      </c>
      <c r="J38" s="122"/>
      <c r="K38" s="114"/>
      <c r="L38" s="7"/>
      <c r="M38" s="114"/>
      <c r="N38" s="114"/>
      <c r="O38" s="121"/>
      <c r="P38" s="7"/>
      <c r="Q38" s="8"/>
      <c r="R38" s="4">
        <f t="shared" si="1"/>
        <v>0</v>
      </c>
    </row>
    <row r="39" spans="1:18" x14ac:dyDescent="0.2">
      <c r="A39" s="122"/>
      <c r="B39" s="114"/>
      <c r="C39" s="7"/>
      <c r="D39" s="114"/>
      <c r="E39" s="114"/>
      <c r="F39" s="121"/>
      <c r="G39" s="7"/>
      <c r="H39" s="8"/>
      <c r="I39" s="4">
        <f t="shared" si="0"/>
        <v>0</v>
      </c>
      <c r="J39" s="123"/>
      <c r="K39" s="124"/>
      <c r="L39" s="7"/>
      <c r="M39" s="114"/>
      <c r="N39" s="114"/>
      <c r="O39" s="121"/>
      <c r="P39" s="9"/>
      <c r="Q39" s="1"/>
      <c r="R39" s="4">
        <f>Q39-P39</f>
        <v>0</v>
      </c>
    </row>
    <row r="40" spans="1:18" x14ac:dyDescent="0.2">
      <c r="A40" s="123"/>
      <c r="B40" s="124"/>
      <c r="C40" s="7"/>
      <c r="D40" s="114"/>
      <c r="E40" s="114"/>
      <c r="F40" s="121"/>
      <c r="G40" s="9"/>
      <c r="H40" s="1"/>
      <c r="I40" s="4">
        <f>H40-G40</f>
        <v>0</v>
      </c>
      <c r="J40" s="123"/>
      <c r="K40" s="124"/>
      <c r="L40" s="7"/>
      <c r="M40" s="114"/>
      <c r="N40" s="114"/>
      <c r="O40" s="121"/>
      <c r="P40" s="9"/>
      <c r="Q40" s="1"/>
      <c r="R40" s="4">
        <f>Q40-P40</f>
        <v>0</v>
      </c>
    </row>
    <row r="41" spans="1:18" x14ac:dyDescent="0.2">
      <c r="A41" s="122"/>
      <c r="B41" s="114"/>
      <c r="C41" s="7"/>
      <c r="D41" s="114"/>
      <c r="E41" s="114"/>
      <c r="F41" s="121"/>
      <c r="G41" s="7"/>
      <c r="H41" s="8"/>
      <c r="I41" s="4">
        <f t="shared" si="0"/>
        <v>0</v>
      </c>
      <c r="J41" s="122"/>
      <c r="K41" s="114"/>
      <c r="L41" s="7"/>
      <c r="M41" s="114"/>
      <c r="N41" s="114"/>
      <c r="O41" s="121"/>
      <c r="P41" s="7"/>
      <c r="Q41" s="8"/>
      <c r="R41" s="4">
        <f t="shared" ref="R41:R49" si="2">Q41-P41</f>
        <v>0</v>
      </c>
    </row>
    <row r="42" spans="1:18" x14ac:dyDescent="0.2">
      <c r="A42" s="122"/>
      <c r="B42" s="114"/>
      <c r="C42" s="7"/>
      <c r="D42" s="114"/>
      <c r="E42" s="114"/>
      <c r="F42" s="121"/>
      <c r="G42" s="7"/>
      <c r="H42" s="8"/>
      <c r="I42" s="4">
        <f t="shared" si="0"/>
        <v>0</v>
      </c>
      <c r="J42" s="122"/>
      <c r="K42" s="114"/>
      <c r="L42" s="7"/>
      <c r="M42" s="114"/>
      <c r="N42" s="114"/>
      <c r="O42" s="121"/>
      <c r="P42" s="7"/>
      <c r="Q42" s="8"/>
      <c r="R42" s="4">
        <f t="shared" si="2"/>
        <v>0</v>
      </c>
    </row>
    <row r="43" spans="1:18" x14ac:dyDescent="0.2">
      <c r="A43" s="122"/>
      <c r="B43" s="114"/>
      <c r="C43" s="7"/>
      <c r="D43" s="114"/>
      <c r="E43" s="114"/>
      <c r="F43" s="121"/>
      <c r="G43" s="7"/>
      <c r="H43" s="8"/>
      <c r="I43" s="4">
        <f t="shared" si="0"/>
        <v>0</v>
      </c>
      <c r="J43" s="122"/>
      <c r="K43" s="114"/>
      <c r="L43" s="7"/>
      <c r="M43" s="114"/>
      <c r="N43" s="114"/>
      <c r="O43" s="121"/>
      <c r="P43" s="7"/>
      <c r="Q43" s="8"/>
      <c r="R43" s="4">
        <f t="shared" si="2"/>
        <v>0</v>
      </c>
    </row>
    <row r="44" spans="1:18" x14ac:dyDescent="0.2">
      <c r="A44" s="122"/>
      <c r="B44" s="114"/>
      <c r="C44" s="7"/>
      <c r="D44" s="114"/>
      <c r="E44" s="114"/>
      <c r="F44" s="121"/>
      <c r="G44" s="7"/>
      <c r="H44" s="8"/>
      <c r="I44" s="4">
        <f t="shared" si="0"/>
        <v>0</v>
      </c>
      <c r="J44" s="122"/>
      <c r="K44" s="114"/>
      <c r="L44" s="7"/>
      <c r="M44" s="114"/>
      <c r="N44" s="114"/>
      <c r="O44" s="121"/>
      <c r="P44" s="7"/>
      <c r="Q44" s="8"/>
      <c r="R44" s="4">
        <f t="shared" si="2"/>
        <v>0</v>
      </c>
    </row>
    <row r="45" spans="1:18" x14ac:dyDescent="0.2">
      <c r="A45" s="122"/>
      <c r="B45" s="114"/>
      <c r="C45" s="7"/>
      <c r="D45" s="114"/>
      <c r="E45" s="114"/>
      <c r="F45" s="121"/>
      <c r="G45" s="7"/>
      <c r="H45" s="8"/>
      <c r="I45" s="4">
        <f t="shared" si="0"/>
        <v>0</v>
      </c>
      <c r="J45" s="122"/>
      <c r="K45" s="114"/>
      <c r="L45" s="7"/>
      <c r="M45" s="114"/>
      <c r="N45" s="114"/>
      <c r="O45" s="121"/>
      <c r="P45" s="7"/>
      <c r="Q45" s="8"/>
      <c r="R45" s="4">
        <f t="shared" si="2"/>
        <v>0</v>
      </c>
    </row>
    <row r="46" spans="1:18" x14ac:dyDescent="0.2">
      <c r="A46" s="122"/>
      <c r="B46" s="114"/>
      <c r="C46" s="7"/>
      <c r="D46" s="114"/>
      <c r="E46" s="114"/>
      <c r="F46" s="121"/>
      <c r="G46" s="7"/>
      <c r="H46" s="8"/>
      <c r="I46" s="4">
        <f t="shared" si="0"/>
        <v>0</v>
      </c>
      <c r="J46" s="122"/>
      <c r="K46" s="114"/>
      <c r="L46" s="7"/>
      <c r="M46" s="114"/>
      <c r="N46" s="114"/>
      <c r="O46" s="121"/>
      <c r="P46" s="7"/>
      <c r="Q46" s="8"/>
      <c r="R46" s="4">
        <f t="shared" si="2"/>
        <v>0</v>
      </c>
    </row>
    <row r="47" spans="1:18" x14ac:dyDescent="0.2">
      <c r="A47" s="122"/>
      <c r="B47" s="114"/>
      <c r="C47" s="7"/>
      <c r="D47" s="114"/>
      <c r="E47" s="114"/>
      <c r="F47" s="121"/>
      <c r="G47" s="7"/>
      <c r="H47" s="8"/>
      <c r="I47" s="4">
        <f t="shared" si="0"/>
        <v>0</v>
      </c>
      <c r="J47" s="122"/>
      <c r="K47" s="114"/>
      <c r="L47" s="7"/>
      <c r="M47" s="114"/>
      <c r="N47" s="114"/>
      <c r="O47" s="121"/>
      <c r="P47" s="7"/>
      <c r="Q47" s="8"/>
      <c r="R47" s="4">
        <f t="shared" si="2"/>
        <v>0</v>
      </c>
    </row>
    <row r="48" spans="1:18" x14ac:dyDescent="0.2">
      <c r="A48" s="122"/>
      <c r="B48" s="114"/>
      <c r="C48" s="7"/>
      <c r="D48" s="114"/>
      <c r="E48" s="114"/>
      <c r="F48" s="121"/>
      <c r="G48" s="7"/>
      <c r="H48" s="8"/>
      <c r="I48" s="4">
        <f t="shared" si="0"/>
        <v>0</v>
      </c>
      <c r="J48" s="122"/>
      <c r="K48" s="114"/>
      <c r="L48" s="7"/>
      <c r="M48" s="114"/>
      <c r="N48" s="114"/>
      <c r="O48" s="121"/>
      <c r="P48" s="7"/>
      <c r="Q48" s="8"/>
      <c r="R48" s="4">
        <f t="shared" si="2"/>
        <v>0</v>
      </c>
    </row>
    <row r="49" spans="1:18" ht="16" thickBot="1" x14ac:dyDescent="0.25">
      <c r="A49" s="79"/>
      <c r="B49" s="80"/>
      <c r="C49" s="10"/>
      <c r="D49" s="114"/>
      <c r="E49" s="114"/>
      <c r="F49" s="121"/>
      <c r="G49" s="10"/>
      <c r="H49" s="11"/>
      <c r="I49" s="12">
        <f t="shared" si="0"/>
        <v>0</v>
      </c>
      <c r="J49" s="79"/>
      <c r="K49" s="80"/>
      <c r="L49" s="10"/>
      <c r="M49" s="114"/>
      <c r="N49" s="114"/>
      <c r="O49" s="121"/>
      <c r="P49" s="10"/>
      <c r="Q49" s="11"/>
      <c r="R49" s="12">
        <f t="shared" si="2"/>
        <v>0</v>
      </c>
    </row>
    <row r="50" spans="1:18" ht="16" thickBot="1" x14ac:dyDescent="0.25">
      <c r="A50" s="125"/>
      <c r="B50" s="126"/>
      <c r="C50" s="16"/>
      <c r="D50" s="127"/>
      <c r="E50" s="127"/>
      <c r="F50" s="126"/>
      <c r="G50" s="128" t="s">
        <v>38</v>
      </c>
      <c r="H50" s="126"/>
      <c r="I50" s="13">
        <f>SUM(I12:I49)</f>
        <v>0.64027777777777772</v>
      </c>
      <c r="J50" s="125"/>
      <c r="K50" s="126"/>
      <c r="L50" s="16"/>
      <c r="M50" s="127"/>
      <c r="N50" s="127"/>
      <c r="O50" s="126"/>
      <c r="P50" s="128" t="s">
        <v>38</v>
      </c>
      <c r="Q50" s="126"/>
      <c r="R50" s="13">
        <f>SUM(R12:R49)</f>
        <v>0.60416666666666674</v>
      </c>
    </row>
    <row r="51" spans="1:18" ht="16" thickTop="1" x14ac:dyDescent="0.2"/>
  </sheetData>
  <mergeCells count="189"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topLeftCell="B1" workbookViewId="0">
      <selection activeCell="G17" sqref="G17"/>
    </sheetView>
  </sheetViews>
  <sheetFormatPr baseColWidth="10" defaultColWidth="8.83203125" defaultRowHeight="15" x14ac:dyDescent="0.2"/>
  <cols>
    <col min="4" max="6" width="8.83203125" style="15"/>
    <col min="16" max="16" width="13" bestFit="1" customWidth="1"/>
  </cols>
  <sheetData>
    <row r="1" spans="1:23" x14ac:dyDescent="0.2">
      <c r="A1" s="82" t="s">
        <v>107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2" t="s">
        <v>46</v>
      </c>
      <c r="T1" s="83"/>
      <c r="U1" s="83"/>
      <c r="V1" s="83"/>
      <c r="W1" s="83"/>
    </row>
    <row r="2" spans="1:23" ht="16" thickBot="1" x14ac:dyDescent="0.2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3"/>
      <c r="T2" s="83"/>
      <c r="U2" s="83"/>
      <c r="V2" s="83"/>
      <c r="W2" s="83"/>
    </row>
    <row r="3" spans="1:23" ht="16" thickTop="1" x14ac:dyDescent="0.2">
      <c r="A3" s="85" t="s">
        <v>6</v>
      </c>
      <c r="B3" s="86"/>
      <c r="C3" s="87" t="s">
        <v>106</v>
      </c>
      <c r="D3" s="88"/>
      <c r="E3" s="88"/>
      <c r="F3" s="88"/>
      <c r="G3" s="88"/>
      <c r="H3" s="88"/>
      <c r="I3" s="89"/>
      <c r="J3" s="85" t="s">
        <v>6</v>
      </c>
      <c r="K3" s="86"/>
      <c r="L3" s="87" t="s">
        <v>106</v>
      </c>
      <c r="M3" s="88"/>
      <c r="N3" s="88"/>
      <c r="O3" s="88"/>
      <c r="P3" s="88"/>
      <c r="Q3" s="88"/>
      <c r="R3" s="89"/>
      <c r="S3" s="90"/>
      <c r="T3" s="83"/>
      <c r="U3" s="83"/>
      <c r="V3" s="83"/>
      <c r="W3" s="83"/>
    </row>
    <row r="4" spans="1:23" x14ac:dyDescent="0.2">
      <c r="A4" s="91" t="s">
        <v>7</v>
      </c>
      <c r="B4" s="92"/>
      <c r="C4" s="73" t="s">
        <v>44</v>
      </c>
      <c r="D4" s="73"/>
      <c r="E4" s="73"/>
      <c r="F4" s="73"/>
      <c r="G4" s="73"/>
      <c r="H4" s="73"/>
      <c r="I4" s="74"/>
      <c r="J4" s="91" t="s">
        <v>7</v>
      </c>
      <c r="K4" s="92"/>
      <c r="L4" s="73" t="s">
        <v>44</v>
      </c>
      <c r="M4" s="73"/>
      <c r="N4" s="73"/>
      <c r="O4" s="73"/>
      <c r="P4" s="73"/>
      <c r="Q4" s="73"/>
      <c r="R4" s="74"/>
      <c r="S4" s="90"/>
      <c r="T4" s="83"/>
      <c r="U4" s="83"/>
      <c r="V4" s="83"/>
      <c r="W4" s="83"/>
    </row>
    <row r="5" spans="1:23" x14ac:dyDescent="0.2">
      <c r="A5" s="75" t="s">
        <v>2</v>
      </c>
      <c r="B5" s="76"/>
      <c r="C5" s="77" t="s">
        <v>3</v>
      </c>
      <c r="D5" s="77"/>
      <c r="E5" s="77"/>
      <c r="F5" s="77"/>
      <c r="G5" s="77"/>
      <c r="H5" s="77"/>
      <c r="I5" s="78"/>
      <c r="J5" s="75" t="s">
        <v>2</v>
      </c>
      <c r="K5" s="76"/>
      <c r="L5" s="77" t="s">
        <v>5</v>
      </c>
      <c r="M5" s="77"/>
      <c r="N5" s="77"/>
      <c r="O5" s="77"/>
      <c r="P5" s="77"/>
      <c r="Q5" s="77"/>
      <c r="R5" s="78"/>
      <c r="S5" s="90"/>
      <c r="T5" s="83"/>
      <c r="U5" s="83"/>
      <c r="V5" s="83"/>
      <c r="W5" s="83"/>
    </row>
    <row r="6" spans="1:23" ht="16" thickBot="1" x14ac:dyDescent="0.25">
      <c r="A6" s="79"/>
      <c r="B6" s="80"/>
      <c r="C6" s="80"/>
      <c r="D6" s="80"/>
      <c r="E6" s="80"/>
      <c r="F6" s="80"/>
      <c r="G6" s="80"/>
      <c r="H6" s="80"/>
      <c r="I6" s="81"/>
      <c r="J6" s="79"/>
      <c r="K6" s="80"/>
      <c r="L6" s="80"/>
      <c r="M6" s="80"/>
      <c r="N6" s="80"/>
      <c r="O6" s="80"/>
      <c r="P6" s="80"/>
      <c r="Q6" s="80"/>
      <c r="R6" s="81"/>
      <c r="S6" s="90"/>
      <c r="T6" s="83"/>
      <c r="U6" s="83"/>
      <c r="V6" s="83"/>
      <c r="W6" s="83"/>
    </row>
    <row r="7" spans="1:23" ht="16" thickBot="1" x14ac:dyDescent="0.25">
      <c r="A7" s="104" t="s">
        <v>8</v>
      </c>
      <c r="B7" s="105"/>
      <c r="C7" s="110" t="s">
        <v>43</v>
      </c>
      <c r="D7" s="93" t="s">
        <v>9</v>
      </c>
      <c r="E7" s="93"/>
      <c r="F7" s="94"/>
      <c r="G7" s="36" t="s">
        <v>10</v>
      </c>
      <c r="H7" s="37"/>
      <c r="I7" s="99"/>
      <c r="J7" s="104" t="s">
        <v>8</v>
      </c>
      <c r="K7" s="105"/>
      <c r="L7" s="110" t="s">
        <v>43</v>
      </c>
      <c r="M7" s="93" t="s">
        <v>9</v>
      </c>
      <c r="N7" s="93"/>
      <c r="O7" s="94"/>
      <c r="P7" s="36" t="s">
        <v>10</v>
      </c>
      <c r="Q7" s="37"/>
      <c r="R7" s="99"/>
      <c r="S7" s="90"/>
      <c r="T7" s="83"/>
      <c r="U7" s="83"/>
      <c r="V7" s="83"/>
      <c r="W7" s="83"/>
    </row>
    <row r="8" spans="1:23" ht="16" thickTop="1" x14ac:dyDescent="0.2">
      <c r="A8" s="106"/>
      <c r="B8" s="107"/>
      <c r="C8" s="111"/>
      <c r="D8" s="95"/>
      <c r="E8" s="95"/>
      <c r="F8" s="96"/>
      <c r="G8" s="100" t="s">
        <v>11</v>
      </c>
      <c r="H8" s="100" t="s">
        <v>12</v>
      </c>
      <c r="I8" s="102" t="s">
        <v>13</v>
      </c>
      <c r="J8" s="106"/>
      <c r="K8" s="107"/>
      <c r="L8" s="111"/>
      <c r="M8" s="95"/>
      <c r="N8" s="95"/>
      <c r="O8" s="96"/>
      <c r="P8" s="100" t="s">
        <v>11</v>
      </c>
      <c r="Q8" s="100" t="s">
        <v>12</v>
      </c>
      <c r="R8" s="102" t="s">
        <v>13</v>
      </c>
      <c r="S8" s="90"/>
      <c r="T8" s="83"/>
      <c r="U8" s="83"/>
      <c r="V8" s="83"/>
      <c r="W8" s="83"/>
    </row>
    <row r="9" spans="1:23" x14ac:dyDescent="0.2">
      <c r="A9" s="106"/>
      <c r="B9" s="107"/>
      <c r="C9" s="111"/>
      <c r="D9" s="95"/>
      <c r="E9" s="95"/>
      <c r="F9" s="96"/>
      <c r="G9" s="100"/>
      <c r="H9" s="100"/>
      <c r="I9" s="102"/>
      <c r="J9" s="106"/>
      <c r="K9" s="107"/>
      <c r="L9" s="111"/>
      <c r="M9" s="95"/>
      <c r="N9" s="95"/>
      <c r="O9" s="96"/>
      <c r="P9" s="100"/>
      <c r="Q9" s="100"/>
      <c r="R9" s="102"/>
      <c r="S9" s="90"/>
      <c r="T9" s="83"/>
      <c r="U9" s="83"/>
      <c r="V9" s="83"/>
      <c r="W9" s="83"/>
    </row>
    <row r="10" spans="1:23" x14ac:dyDescent="0.2">
      <c r="A10" s="106"/>
      <c r="B10" s="107"/>
      <c r="C10" s="111"/>
      <c r="D10" s="95"/>
      <c r="E10" s="95"/>
      <c r="F10" s="96"/>
      <c r="G10" s="100"/>
      <c r="H10" s="100"/>
      <c r="I10" s="102"/>
      <c r="J10" s="106"/>
      <c r="K10" s="107"/>
      <c r="L10" s="111"/>
      <c r="M10" s="95"/>
      <c r="N10" s="95"/>
      <c r="O10" s="96"/>
      <c r="P10" s="100"/>
      <c r="Q10" s="100"/>
      <c r="R10" s="102"/>
      <c r="S10" s="90"/>
      <c r="T10" s="83"/>
      <c r="U10" s="83"/>
      <c r="V10" s="83"/>
      <c r="W10" s="83"/>
    </row>
    <row r="11" spans="1:23" ht="16" thickBot="1" x14ac:dyDescent="0.25">
      <c r="A11" s="108"/>
      <c r="B11" s="109"/>
      <c r="C11" s="112"/>
      <c r="D11" s="97"/>
      <c r="E11" s="97"/>
      <c r="F11" s="98"/>
      <c r="G11" s="101"/>
      <c r="H11" s="101"/>
      <c r="I11" s="103"/>
      <c r="J11" s="108"/>
      <c r="K11" s="109"/>
      <c r="L11" s="112"/>
      <c r="M11" s="97"/>
      <c r="N11" s="97"/>
      <c r="O11" s="98"/>
      <c r="P11" s="101"/>
      <c r="Q11" s="101"/>
      <c r="R11" s="103"/>
      <c r="S11" s="90"/>
      <c r="T11" s="83"/>
      <c r="U11" s="83"/>
      <c r="V11" s="83"/>
      <c r="W11" s="83"/>
    </row>
    <row r="12" spans="1:23" ht="16" thickBot="1" x14ac:dyDescent="0.25">
      <c r="A12" s="116" t="s">
        <v>98</v>
      </c>
      <c r="B12" s="117"/>
      <c r="C12" s="14"/>
      <c r="D12" s="118" t="s">
        <v>118</v>
      </c>
      <c r="E12" s="118"/>
      <c r="F12" s="119"/>
      <c r="G12" s="2">
        <v>0.58333333333333337</v>
      </c>
      <c r="H12" s="3">
        <v>0.64236111111111105</v>
      </c>
      <c r="I12" s="4">
        <f>H12-G12</f>
        <v>5.9027777777777679E-2</v>
      </c>
      <c r="J12" s="116">
        <v>44952</v>
      </c>
      <c r="K12" s="117"/>
      <c r="L12" s="14"/>
      <c r="M12" s="73" t="s">
        <v>109</v>
      </c>
      <c r="N12" s="73"/>
      <c r="O12" s="115"/>
      <c r="P12" s="2">
        <v>0.5625</v>
      </c>
      <c r="Q12" s="3">
        <v>0.625</v>
      </c>
      <c r="R12" s="4">
        <f>Q12-P12</f>
        <v>6.25E-2</v>
      </c>
    </row>
    <row r="13" spans="1:23" x14ac:dyDescent="0.2">
      <c r="A13" s="113" t="s">
        <v>112</v>
      </c>
      <c r="B13" s="114"/>
      <c r="C13" s="7"/>
      <c r="D13" s="73" t="s">
        <v>113</v>
      </c>
      <c r="E13" s="73"/>
      <c r="F13" s="115"/>
      <c r="G13" s="5">
        <v>0.79166666666666663</v>
      </c>
      <c r="H13" s="6">
        <v>0.91666666666666663</v>
      </c>
      <c r="I13" s="4">
        <f>H13-G13</f>
        <v>0.125</v>
      </c>
      <c r="J13" s="116">
        <v>44956</v>
      </c>
      <c r="K13" s="117"/>
      <c r="L13" s="14"/>
      <c r="M13" s="73" t="s">
        <v>108</v>
      </c>
      <c r="N13" s="73"/>
      <c r="O13" s="115"/>
      <c r="P13" s="2">
        <v>0.53125</v>
      </c>
      <c r="Q13" s="3">
        <v>0.625</v>
      </c>
      <c r="R13" s="4">
        <f>Q13-P13</f>
        <v>9.375E-2</v>
      </c>
    </row>
    <row r="14" spans="1:23" x14ac:dyDescent="0.2">
      <c r="A14" s="113" t="s">
        <v>114</v>
      </c>
      <c r="B14" s="114"/>
      <c r="C14" s="7"/>
      <c r="D14" s="73" t="s">
        <v>115</v>
      </c>
      <c r="E14" s="73"/>
      <c r="F14" s="115"/>
      <c r="G14" s="5">
        <v>0.70833333333333337</v>
      </c>
      <c r="H14" s="6">
        <v>0.95833333333333337</v>
      </c>
      <c r="I14" s="4">
        <f t="shared" ref="I14:I49" si="0">H14-G14</f>
        <v>0.25</v>
      </c>
      <c r="J14" s="113">
        <v>44956</v>
      </c>
      <c r="K14" s="114"/>
      <c r="L14" s="17"/>
      <c r="M14" s="73" t="s">
        <v>110</v>
      </c>
      <c r="N14" s="73"/>
      <c r="O14" s="115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2">
      <c r="A15" s="113" t="s">
        <v>116</v>
      </c>
      <c r="B15" s="120"/>
      <c r="C15" s="7"/>
      <c r="D15" s="22" t="s">
        <v>117</v>
      </c>
      <c r="E15" s="22"/>
      <c r="F15" s="25"/>
      <c r="G15" s="5">
        <v>0.33333333333333331</v>
      </c>
      <c r="H15" s="6">
        <v>0.45833333333333331</v>
      </c>
      <c r="I15" s="4">
        <f t="shared" si="0"/>
        <v>0.125</v>
      </c>
      <c r="J15" s="113">
        <v>44956</v>
      </c>
      <c r="K15" s="114"/>
      <c r="L15" s="7"/>
      <c r="M15" s="73" t="s">
        <v>110</v>
      </c>
      <c r="N15" s="73"/>
      <c r="O15" s="115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2">
      <c r="A16" s="113"/>
      <c r="B16" s="114"/>
      <c r="C16" s="7"/>
      <c r="D16" s="73"/>
      <c r="E16" s="73"/>
      <c r="F16" s="115"/>
      <c r="G16" s="5"/>
      <c r="H16" s="6"/>
      <c r="I16" s="4">
        <f t="shared" si="0"/>
        <v>0</v>
      </c>
      <c r="J16" s="113">
        <v>44957</v>
      </c>
      <c r="K16" s="114"/>
      <c r="L16" s="7"/>
      <c r="M16" s="73" t="s">
        <v>111</v>
      </c>
      <c r="N16" s="73"/>
      <c r="O16" s="115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2">
      <c r="A17" s="113"/>
      <c r="B17" s="114"/>
      <c r="C17" s="7"/>
      <c r="D17" s="73"/>
      <c r="E17" s="73"/>
      <c r="F17" s="115"/>
      <c r="G17" s="5"/>
      <c r="H17" s="6"/>
      <c r="I17" s="4">
        <f t="shared" si="0"/>
        <v>0</v>
      </c>
      <c r="J17" s="113"/>
      <c r="K17" s="114"/>
      <c r="L17" s="7"/>
      <c r="M17" s="73"/>
      <c r="N17" s="73"/>
      <c r="O17" s="115"/>
      <c r="P17" s="5"/>
      <c r="Q17" s="6"/>
      <c r="R17" s="4">
        <f t="shared" si="1"/>
        <v>0</v>
      </c>
    </row>
    <row r="18" spans="1:18" x14ac:dyDescent="0.2">
      <c r="A18" s="113"/>
      <c r="B18" s="114"/>
      <c r="C18" s="7"/>
      <c r="D18" s="73"/>
      <c r="E18" s="73"/>
      <c r="F18" s="115"/>
      <c r="G18" s="5"/>
      <c r="H18" s="6"/>
      <c r="I18" s="4">
        <f t="shared" si="0"/>
        <v>0</v>
      </c>
      <c r="J18" s="113"/>
      <c r="K18" s="114"/>
      <c r="L18" s="7"/>
      <c r="M18" s="73"/>
      <c r="N18" s="73"/>
      <c r="O18" s="115"/>
      <c r="P18" s="5"/>
      <c r="Q18" s="6"/>
      <c r="R18" s="4">
        <f t="shared" si="1"/>
        <v>0</v>
      </c>
    </row>
    <row r="19" spans="1:18" x14ac:dyDescent="0.2">
      <c r="A19" s="113"/>
      <c r="B19" s="114"/>
      <c r="C19" s="7"/>
      <c r="D19" s="73"/>
      <c r="E19" s="73"/>
      <c r="F19" s="115"/>
      <c r="G19" s="5"/>
      <c r="H19" s="6"/>
      <c r="I19" s="4">
        <f t="shared" si="0"/>
        <v>0</v>
      </c>
      <c r="J19" s="113"/>
      <c r="K19" s="114"/>
      <c r="L19" s="7"/>
      <c r="M19" s="73"/>
      <c r="N19" s="73"/>
      <c r="O19" s="115"/>
      <c r="P19" s="5"/>
      <c r="Q19" s="6"/>
      <c r="R19" s="4">
        <f>Q19-P19</f>
        <v>0</v>
      </c>
    </row>
    <row r="20" spans="1:18" x14ac:dyDescent="0.2">
      <c r="A20" s="113"/>
      <c r="B20" s="114"/>
      <c r="C20" s="7"/>
      <c r="D20" s="73"/>
      <c r="E20" s="73"/>
      <c r="F20" s="115"/>
      <c r="G20" s="5"/>
      <c r="H20" s="6"/>
      <c r="I20" s="4">
        <f t="shared" si="0"/>
        <v>0</v>
      </c>
      <c r="J20" s="113"/>
      <c r="K20" s="114"/>
      <c r="L20" s="7"/>
      <c r="M20" s="73"/>
      <c r="N20" s="73"/>
      <c r="O20" s="115"/>
      <c r="P20" s="5"/>
      <c r="Q20" s="6"/>
      <c r="R20" s="4">
        <f t="shared" si="1"/>
        <v>0</v>
      </c>
    </row>
    <row r="21" spans="1:18" x14ac:dyDescent="0.2">
      <c r="A21" s="113"/>
      <c r="B21" s="114"/>
      <c r="C21" s="7"/>
      <c r="D21" s="73"/>
      <c r="E21" s="73"/>
      <c r="F21" s="115"/>
      <c r="G21" s="5"/>
      <c r="H21" s="6"/>
      <c r="I21" s="4">
        <f t="shared" si="0"/>
        <v>0</v>
      </c>
      <c r="J21" s="113"/>
      <c r="K21" s="114"/>
      <c r="L21" s="7"/>
      <c r="M21" s="114"/>
      <c r="N21" s="114"/>
      <c r="O21" s="121"/>
      <c r="P21" s="5"/>
      <c r="Q21" s="6"/>
      <c r="R21" s="4">
        <f t="shared" si="1"/>
        <v>0</v>
      </c>
    </row>
    <row r="22" spans="1:18" x14ac:dyDescent="0.2">
      <c r="A22" s="113"/>
      <c r="B22" s="114"/>
      <c r="C22" s="7"/>
      <c r="D22" s="114"/>
      <c r="E22" s="114"/>
      <c r="F22" s="121"/>
      <c r="G22" s="5"/>
      <c r="H22" s="6"/>
      <c r="I22" s="4">
        <f t="shared" si="0"/>
        <v>0</v>
      </c>
      <c r="J22" s="113"/>
      <c r="K22" s="114"/>
      <c r="L22" s="7"/>
      <c r="M22" s="114"/>
      <c r="N22" s="114"/>
      <c r="O22" s="121"/>
      <c r="P22" s="5"/>
      <c r="Q22" s="6"/>
      <c r="R22" s="4">
        <f t="shared" si="1"/>
        <v>0</v>
      </c>
    </row>
    <row r="23" spans="1:18" x14ac:dyDescent="0.2">
      <c r="A23" s="113"/>
      <c r="B23" s="114"/>
      <c r="C23" s="7"/>
      <c r="D23" s="114"/>
      <c r="E23" s="114"/>
      <c r="F23" s="121"/>
      <c r="G23" s="5"/>
      <c r="H23" s="6"/>
      <c r="I23" s="4">
        <f t="shared" si="0"/>
        <v>0</v>
      </c>
      <c r="J23" s="113"/>
      <c r="K23" s="114"/>
      <c r="L23" s="7"/>
      <c r="M23" s="114"/>
      <c r="N23" s="114"/>
      <c r="O23" s="121"/>
      <c r="P23" s="5"/>
      <c r="Q23" s="6"/>
      <c r="R23" s="4">
        <f t="shared" si="1"/>
        <v>0</v>
      </c>
    </row>
    <row r="24" spans="1:18" x14ac:dyDescent="0.2">
      <c r="A24" s="113"/>
      <c r="B24" s="114"/>
      <c r="C24" s="7"/>
      <c r="D24" s="114"/>
      <c r="E24" s="114"/>
      <c r="F24" s="121"/>
      <c r="G24" s="5"/>
      <c r="H24" s="6"/>
      <c r="I24" s="4">
        <f t="shared" si="0"/>
        <v>0</v>
      </c>
      <c r="J24" s="113"/>
      <c r="K24" s="114"/>
      <c r="L24" s="7"/>
      <c r="M24" s="114"/>
      <c r="N24" s="114"/>
      <c r="O24" s="121"/>
      <c r="P24" s="5"/>
      <c r="Q24" s="6"/>
      <c r="R24" s="4">
        <f t="shared" si="1"/>
        <v>0</v>
      </c>
    </row>
    <row r="25" spans="1:18" x14ac:dyDescent="0.2">
      <c r="A25" s="113"/>
      <c r="B25" s="114"/>
      <c r="C25" s="7"/>
      <c r="D25" s="114"/>
      <c r="E25" s="114"/>
      <c r="F25" s="121"/>
      <c r="G25" s="5"/>
      <c r="H25" s="6"/>
      <c r="I25" s="4">
        <f t="shared" si="0"/>
        <v>0</v>
      </c>
      <c r="J25" s="113"/>
      <c r="K25" s="114"/>
      <c r="L25" s="7"/>
      <c r="M25" s="114"/>
      <c r="N25" s="114"/>
      <c r="O25" s="121"/>
      <c r="P25" s="5"/>
      <c r="Q25" s="6"/>
      <c r="R25" s="4">
        <f t="shared" si="1"/>
        <v>0</v>
      </c>
    </row>
    <row r="26" spans="1:18" x14ac:dyDescent="0.2">
      <c r="A26" s="122"/>
      <c r="B26" s="114"/>
      <c r="C26" s="7"/>
      <c r="D26" s="114"/>
      <c r="E26" s="114"/>
      <c r="F26" s="121"/>
      <c r="G26" s="7"/>
      <c r="H26" s="8"/>
      <c r="I26" s="4">
        <f t="shared" si="0"/>
        <v>0</v>
      </c>
      <c r="J26" s="113"/>
      <c r="K26" s="114"/>
      <c r="L26" s="7"/>
      <c r="M26" s="114"/>
      <c r="N26" s="114"/>
      <c r="O26" s="121"/>
      <c r="P26" s="5"/>
      <c r="Q26" s="6"/>
      <c r="R26" s="4">
        <f t="shared" si="1"/>
        <v>0</v>
      </c>
    </row>
    <row r="27" spans="1:18" x14ac:dyDescent="0.2">
      <c r="A27" s="122"/>
      <c r="B27" s="114"/>
      <c r="C27" s="7"/>
      <c r="D27" s="114"/>
      <c r="E27" s="114"/>
      <c r="F27" s="121"/>
      <c r="G27" s="7"/>
      <c r="H27" s="8"/>
      <c r="I27" s="4">
        <f t="shared" si="0"/>
        <v>0</v>
      </c>
      <c r="J27" s="122"/>
      <c r="K27" s="114"/>
      <c r="L27" s="7"/>
      <c r="M27" s="114"/>
      <c r="N27" s="114"/>
      <c r="O27" s="121"/>
      <c r="P27" s="7"/>
      <c r="Q27" s="8"/>
      <c r="R27" s="4">
        <f t="shared" si="1"/>
        <v>0</v>
      </c>
    </row>
    <row r="28" spans="1:18" x14ac:dyDescent="0.2">
      <c r="A28" s="122"/>
      <c r="B28" s="114"/>
      <c r="C28" s="7"/>
      <c r="D28" s="114"/>
      <c r="E28" s="114"/>
      <c r="F28" s="121"/>
      <c r="G28" s="7"/>
      <c r="H28" s="8"/>
      <c r="I28" s="4">
        <f t="shared" si="0"/>
        <v>0</v>
      </c>
      <c r="J28" s="122"/>
      <c r="K28" s="114"/>
      <c r="L28" s="7"/>
      <c r="M28" s="114"/>
      <c r="N28" s="114"/>
      <c r="O28" s="121"/>
      <c r="P28" s="7"/>
      <c r="Q28" s="8"/>
      <c r="R28" s="4">
        <f t="shared" si="1"/>
        <v>0</v>
      </c>
    </row>
    <row r="29" spans="1:18" x14ac:dyDescent="0.2">
      <c r="A29" s="122"/>
      <c r="B29" s="114"/>
      <c r="C29" s="7"/>
      <c r="D29" s="114"/>
      <c r="E29" s="114"/>
      <c r="F29" s="121"/>
      <c r="G29" s="7"/>
      <c r="H29" s="8"/>
      <c r="I29" s="4">
        <f t="shared" si="0"/>
        <v>0</v>
      </c>
      <c r="J29" s="122"/>
      <c r="K29" s="114"/>
      <c r="L29" s="7"/>
      <c r="M29" s="114"/>
      <c r="N29" s="114"/>
      <c r="O29" s="121"/>
      <c r="P29" s="7"/>
      <c r="Q29" s="8"/>
      <c r="R29" s="4">
        <f t="shared" si="1"/>
        <v>0</v>
      </c>
    </row>
    <row r="30" spans="1:18" x14ac:dyDescent="0.2">
      <c r="A30" s="122"/>
      <c r="B30" s="114"/>
      <c r="C30" s="7"/>
      <c r="D30" s="114"/>
      <c r="E30" s="114"/>
      <c r="F30" s="121"/>
      <c r="G30" s="7"/>
      <c r="H30" s="8"/>
      <c r="I30" s="4">
        <f t="shared" si="0"/>
        <v>0</v>
      </c>
      <c r="J30" s="122"/>
      <c r="K30" s="114"/>
      <c r="L30" s="7"/>
      <c r="M30" s="114"/>
      <c r="N30" s="114"/>
      <c r="O30" s="121"/>
      <c r="P30" s="7"/>
      <c r="Q30" s="8"/>
      <c r="R30" s="4">
        <f t="shared" si="1"/>
        <v>0</v>
      </c>
    </row>
    <row r="31" spans="1:18" x14ac:dyDescent="0.2">
      <c r="A31" s="122"/>
      <c r="B31" s="114"/>
      <c r="C31" s="7"/>
      <c r="D31" s="114"/>
      <c r="E31" s="114"/>
      <c r="F31" s="121"/>
      <c r="G31" s="7"/>
      <c r="H31" s="8"/>
      <c r="I31" s="4">
        <f t="shared" si="0"/>
        <v>0</v>
      </c>
      <c r="J31" s="122"/>
      <c r="K31" s="114"/>
      <c r="L31" s="7"/>
      <c r="M31" s="114"/>
      <c r="N31" s="114"/>
      <c r="O31" s="121"/>
      <c r="P31" s="7"/>
      <c r="Q31" s="8"/>
      <c r="R31" s="4">
        <f t="shared" si="1"/>
        <v>0</v>
      </c>
    </row>
    <row r="32" spans="1:18" x14ac:dyDescent="0.2">
      <c r="A32" s="122"/>
      <c r="B32" s="114"/>
      <c r="C32" s="7"/>
      <c r="D32" s="114"/>
      <c r="E32" s="114"/>
      <c r="F32" s="121"/>
      <c r="G32" s="7"/>
      <c r="H32" s="8"/>
      <c r="I32" s="4">
        <f t="shared" si="0"/>
        <v>0</v>
      </c>
      <c r="J32" s="122"/>
      <c r="K32" s="114"/>
      <c r="L32" s="7"/>
      <c r="M32" s="114"/>
      <c r="N32" s="114"/>
      <c r="O32" s="121"/>
      <c r="P32" s="7"/>
      <c r="Q32" s="8"/>
      <c r="R32" s="4">
        <f t="shared" si="1"/>
        <v>0</v>
      </c>
    </row>
    <row r="33" spans="1:18" x14ac:dyDescent="0.2">
      <c r="A33" s="122"/>
      <c r="B33" s="114"/>
      <c r="C33" s="7"/>
      <c r="D33" s="114"/>
      <c r="E33" s="114"/>
      <c r="F33" s="121"/>
      <c r="G33" s="7"/>
      <c r="H33" s="8"/>
      <c r="I33" s="4">
        <f t="shared" si="0"/>
        <v>0</v>
      </c>
      <c r="J33" s="122"/>
      <c r="K33" s="114"/>
      <c r="L33" s="7"/>
      <c r="M33" s="114"/>
      <c r="N33" s="114"/>
      <c r="O33" s="121"/>
      <c r="P33" s="7"/>
      <c r="Q33" s="8"/>
      <c r="R33" s="4">
        <f t="shared" si="1"/>
        <v>0</v>
      </c>
    </row>
    <row r="34" spans="1:18" x14ac:dyDescent="0.2">
      <c r="A34" s="122"/>
      <c r="B34" s="114"/>
      <c r="C34" s="7"/>
      <c r="D34" s="114"/>
      <c r="E34" s="114"/>
      <c r="F34" s="121"/>
      <c r="G34" s="7"/>
      <c r="H34" s="8"/>
      <c r="I34" s="4">
        <f t="shared" si="0"/>
        <v>0</v>
      </c>
      <c r="J34" s="122"/>
      <c r="K34" s="114"/>
      <c r="L34" s="7"/>
      <c r="M34" s="114"/>
      <c r="N34" s="114"/>
      <c r="O34" s="121"/>
      <c r="P34" s="7"/>
      <c r="Q34" s="8"/>
      <c r="R34" s="4">
        <f t="shared" si="1"/>
        <v>0</v>
      </c>
    </row>
    <row r="35" spans="1:18" x14ac:dyDescent="0.2">
      <c r="A35" s="122"/>
      <c r="B35" s="114"/>
      <c r="C35" s="7"/>
      <c r="D35" s="114"/>
      <c r="E35" s="114"/>
      <c r="F35" s="121"/>
      <c r="G35" s="7"/>
      <c r="H35" s="8"/>
      <c r="I35" s="4">
        <f t="shared" si="0"/>
        <v>0</v>
      </c>
      <c r="J35" s="122"/>
      <c r="K35" s="114"/>
      <c r="L35" s="7"/>
      <c r="M35" s="114"/>
      <c r="N35" s="114"/>
      <c r="O35" s="121"/>
      <c r="P35" s="7"/>
      <c r="Q35" s="8"/>
      <c r="R35" s="4">
        <f t="shared" si="1"/>
        <v>0</v>
      </c>
    </row>
    <row r="36" spans="1:18" x14ac:dyDescent="0.2">
      <c r="A36" s="122"/>
      <c r="B36" s="114"/>
      <c r="C36" s="7"/>
      <c r="D36" s="114"/>
      <c r="E36" s="114"/>
      <c r="F36" s="121"/>
      <c r="G36" s="7"/>
      <c r="H36" s="8"/>
      <c r="I36" s="4">
        <f t="shared" si="0"/>
        <v>0</v>
      </c>
      <c r="J36" s="122"/>
      <c r="K36" s="114"/>
      <c r="L36" s="7"/>
      <c r="M36" s="114"/>
      <c r="N36" s="114"/>
      <c r="O36" s="121"/>
      <c r="P36" s="7"/>
      <c r="Q36" s="8"/>
      <c r="R36" s="4">
        <f t="shared" si="1"/>
        <v>0</v>
      </c>
    </row>
    <row r="37" spans="1:18" x14ac:dyDescent="0.2">
      <c r="A37" s="122"/>
      <c r="B37" s="114"/>
      <c r="C37" s="7"/>
      <c r="D37" s="114"/>
      <c r="E37" s="114"/>
      <c r="F37" s="121"/>
      <c r="G37" s="7"/>
      <c r="H37" s="8"/>
      <c r="I37" s="4">
        <f t="shared" si="0"/>
        <v>0</v>
      </c>
      <c r="J37" s="122"/>
      <c r="K37" s="114"/>
      <c r="L37" s="7"/>
      <c r="M37" s="114"/>
      <c r="N37" s="114"/>
      <c r="O37" s="121"/>
      <c r="P37" s="7"/>
      <c r="Q37" s="8"/>
      <c r="R37" s="4">
        <f t="shared" si="1"/>
        <v>0</v>
      </c>
    </row>
    <row r="38" spans="1:18" x14ac:dyDescent="0.2">
      <c r="A38" s="122"/>
      <c r="B38" s="114"/>
      <c r="C38" s="7"/>
      <c r="D38" s="114"/>
      <c r="E38" s="114"/>
      <c r="F38" s="121"/>
      <c r="G38" s="7"/>
      <c r="H38" s="8"/>
      <c r="I38" s="4">
        <f t="shared" si="0"/>
        <v>0</v>
      </c>
      <c r="J38" s="122"/>
      <c r="K38" s="114"/>
      <c r="L38" s="7"/>
      <c r="M38" s="114"/>
      <c r="N38" s="114"/>
      <c r="O38" s="121"/>
      <c r="P38" s="7"/>
      <c r="Q38" s="8"/>
      <c r="R38" s="4">
        <f t="shared" si="1"/>
        <v>0</v>
      </c>
    </row>
    <row r="39" spans="1:18" x14ac:dyDescent="0.2">
      <c r="A39" s="122"/>
      <c r="B39" s="114"/>
      <c r="C39" s="7"/>
      <c r="D39" s="114"/>
      <c r="E39" s="114"/>
      <c r="F39" s="121"/>
      <c r="G39" s="7"/>
      <c r="H39" s="8"/>
      <c r="I39" s="4">
        <f t="shared" si="0"/>
        <v>0</v>
      </c>
      <c r="J39" s="122"/>
      <c r="K39" s="114"/>
      <c r="L39" s="7"/>
      <c r="M39" s="114"/>
      <c r="N39" s="114"/>
      <c r="O39" s="121"/>
      <c r="P39" s="7"/>
      <c r="Q39" s="8"/>
      <c r="R39" s="4">
        <f t="shared" si="1"/>
        <v>0</v>
      </c>
    </row>
    <row r="40" spans="1:18" x14ac:dyDescent="0.2">
      <c r="A40" s="123"/>
      <c r="B40" s="124"/>
      <c r="C40" s="7"/>
      <c r="D40" s="114"/>
      <c r="E40" s="114"/>
      <c r="F40" s="121"/>
      <c r="G40" s="9"/>
      <c r="H40" s="1"/>
      <c r="I40" s="4">
        <f>H40-G40</f>
        <v>0</v>
      </c>
      <c r="J40" s="122"/>
      <c r="K40" s="114"/>
      <c r="L40" s="7"/>
      <c r="M40" s="114"/>
      <c r="N40" s="114"/>
      <c r="O40" s="121"/>
      <c r="P40" s="7"/>
      <c r="Q40" s="8"/>
      <c r="R40" s="4">
        <f t="shared" si="1"/>
        <v>0</v>
      </c>
    </row>
    <row r="41" spans="1:18" x14ac:dyDescent="0.2">
      <c r="A41" s="122"/>
      <c r="B41" s="114"/>
      <c r="C41" s="7"/>
      <c r="D41" s="114"/>
      <c r="E41" s="114"/>
      <c r="F41" s="121"/>
      <c r="G41" s="7"/>
      <c r="H41" s="8"/>
      <c r="I41" s="4">
        <f t="shared" si="0"/>
        <v>0</v>
      </c>
      <c r="J41" s="123"/>
      <c r="K41" s="124"/>
      <c r="L41" s="7"/>
      <c r="M41" s="114"/>
      <c r="N41" s="114"/>
      <c r="O41" s="121"/>
      <c r="P41" s="9"/>
      <c r="Q41" s="1"/>
      <c r="R41" s="4">
        <f>Q41-P41</f>
        <v>0</v>
      </c>
    </row>
    <row r="42" spans="1:18" x14ac:dyDescent="0.2">
      <c r="A42" s="122"/>
      <c r="B42" s="114"/>
      <c r="C42" s="7"/>
      <c r="D42" s="114"/>
      <c r="E42" s="114"/>
      <c r="F42" s="121"/>
      <c r="G42" s="7"/>
      <c r="H42" s="8"/>
      <c r="I42" s="4">
        <f t="shared" si="0"/>
        <v>0</v>
      </c>
      <c r="J42" s="122"/>
      <c r="K42" s="114"/>
      <c r="L42" s="7"/>
      <c r="M42" s="114"/>
      <c r="N42" s="114"/>
      <c r="O42" s="121"/>
      <c r="P42" s="7"/>
      <c r="Q42" s="8"/>
      <c r="R42" s="4">
        <f t="shared" ref="R42:R49" si="2">Q42-P42</f>
        <v>0</v>
      </c>
    </row>
    <row r="43" spans="1:18" x14ac:dyDescent="0.2">
      <c r="A43" s="122"/>
      <c r="B43" s="114"/>
      <c r="C43" s="7"/>
      <c r="D43" s="114"/>
      <c r="E43" s="114"/>
      <c r="F43" s="121"/>
      <c r="G43" s="7"/>
      <c r="H43" s="8"/>
      <c r="I43" s="4">
        <f t="shared" si="0"/>
        <v>0</v>
      </c>
      <c r="J43" s="122"/>
      <c r="K43" s="114"/>
      <c r="L43" s="7"/>
      <c r="M43" s="114"/>
      <c r="N43" s="114"/>
      <c r="O43" s="121"/>
      <c r="P43" s="7"/>
      <c r="Q43" s="8"/>
      <c r="R43" s="4">
        <f t="shared" si="2"/>
        <v>0</v>
      </c>
    </row>
    <row r="44" spans="1:18" x14ac:dyDescent="0.2">
      <c r="A44" s="122"/>
      <c r="B44" s="114"/>
      <c r="C44" s="7"/>
      <c r="D44" s="114"/>
      <c r="E44" s="114"/>
      <c r="F44" s="121"/>
      <c r="G44" s="7"/>
      <c r="H44" s="8"/>
      <c r="I44" s="4">
        <f t="shared" si="0"/>
        <v>0</v>
      </c>
      <c r="J44" s="122"/>
      <c r="K44" s="114"/>
      <c r="L44" s="7"/>
      <c r="M44" s="114"/>
      <c r="N44" s="114"/>
      <c r="O44" s="121"/>
      <c r="P44" s="7"/>
      <c r="Q44" s="8"/>
      <c r="R44" s="4">
        <f t="shared" si="2"/>
        <v>0</v>
      </c>
    </row>
    <row r="45" spans="1:18" x14ac:dyDescent="0.2">
      <c r="A45" s="122"/>
      <c r="B45" s="114"/>
      <c r="C45" s="7"/>
      <c r="D45" s="114"/>
      <c r="E45" s="114"/>
      <c r="F45" s="121"/>
      <c r="G45" s="7"/>
      <c r="H45" s="8"/>
      <c r="I45" s="4">
        <f t="shared" si="0"/>
        <v>0</v>
      </c>
      <c r="J45" s="122"/>
      <c r="K45" s="114"/>
      <c r="L45" s="7"/>
      <c r="M45" s="114"/>
      <c r="N45" s="114"/>
      <c r="O45" s="121"/>
      <c r="P45" s="7"/>
      <c r="Q45" s="8"/>
      <c r="R45" s="4">
        <f t="shared" si="2"/>
        <v>0</v>
      </c>
    </row>
    <row r="46" spans="1:18" x14ac:dyDescent="0.2">
      <c r="A46" s="122"/>
      <c r="B46" s="114"/>
      <c r="C46" s="7"/>
      <c r="D46" s="114"/>
      <c r="E46" s="114"/>
      <c r="F46" s="121"/>
      <c r="G46" s="7"/>
      <c r="H46" s="8"/>
      <c r="I46" s="4">
        <f t="shared" si="0"/>
        <v>0</v>
      </c>
      <c r="J46" s="122"/>
      <c r="K46" s="114"/>
      <c r="L46" s="7"/>
      <c r="M46" s="114"/>
      <c r="N46" s="114"/>
      <c r="O46" s="121"/>
      <c r="P46" s="7"/>
      <c r="Q46" s="8"/>
      <c r="R46" s="4">
        <f t="shared" si="2"/>
        <v>0</v>
      </c>
    </row>
    <row r="47" spans="1:18" x14ac:dyDescent="0.2">
      <c r="A47" s="122"/>
      <c r="B47" s="114"/>
      <c r="C47" s="7"/>
      <c r="D47" s="114"/>
      <c r="E47" s="114"/>
      <c r="F47" s="121"/>
      <c r="G47" s="7"/>
      <c r="H47" s="8"/>
      <c r="I47" s="4">
        <f t="shared" si="0"/>
        <v>0</v>
      </c>
      <c r="J47" s="122"/>
      <c r="K47" s="114"/>
      <c r="L47" s="7"/>
      <c r="M47" s="114"/>
      <c r="N47" s="114"/>
      <c r="O47" s="121"/>
      <c r="P47" s="7"/>
      <c r="Q47" s="8"/>
      <c r="R47" s="4">
        <f t="shared" si="2"/>
        <v>0</v>
      </c>
    </row>
    <row r="48" spans="1:18" x14ac:dyDescent="0.2">
      <c r="A48" s="122"/>
      <c r="B48" s="114"/>
      <c r="C48" s="7"/>
      <c r="D48" s="114"/>
      <c r="E48" s="114"/>
      <c r="F48" s="121"/>
      <c r="G48" s="7"/>
      <c r="H48" s="8"/>
      <c r="I48" s="4">
        <f t="shared" si="0"/>
        <v>0</v>
      </c>
      <c r="J48" s="122"/>
      <c r="K48" s="114"/>
      <c r="L48" s="7"/>
      <c r="M48" s="114"/>
      <c r="N48" s="114"/>
      <c r="O48" s="121"/>
      <c r="P48" s="7"/>
      <c r="Q48" s="8"/>
      <c r="R48" s="4">
        <f t="shared" si="2"/>
        <v>0</v>
      </c>
    </row>
    <row r="49" spans="1:18" ht="16" thickBot="1" x14ac:dyDescent="0.25">
      <c r="A49" s="79"/>
      <c r="B49" s="80"/>
      <c r="C49" s="10"/>
      <c r="D49" s="114"/>
      <c r="E49" s="114"/>
      <c r="F49" s="121"/>
      <c r="G49" s="10"/>
      <c r="H49" s="11"/>
      <c r="I49" s="12">
        <f t="shared" si="0"/>
        <v>0</v>
      </c>
      <c r="J49" s="122"/>
      <c r="K49" s="114"/>
      <c r="L49" s="10"/>
      <c r="M49" s="114"/>
      <c r="N49" s="114"/>
      <c r="O49" s="121"/>
      <c r="P49" s="7"/>
      <c r="Q49" s="8"/>
      <c r="R49" s="4">
        <f t="shared" si="2"/>
        <v>0</v>
      </c>
    </row>
    <row r="50" spans="1:18" ht="16" thickBot="1" x14ac:dyDescent="0.25">
      <c r="A50" s="125"/>
      <c r="B50" s="126"/>
      <c r="C50" s="16"/>
      <c r="D50" s="127"/>
      <c r="E50" s="127"/>
      <c r="F50" s="126"/>
      <c r="G50" s="128" t="s">
        <v>38</v>
      </c>
      <c r="H50" s="126"/>
      <c r="I50" s="13">
        <f>SUM(I12:I49)</f>
        <v>0.55902777777777768</v>
      </c>
      <c r="J50" s="125"/>
      <c r="K50" s="126"/>
      <c r="L50" s="16"/>
      <c r="M50" s="127"/>
      <c r="N50" s="127"/>
      <c r="O50" s="126"/>
      <c r="P50" s="128" t="s">
        <v>38</v>
      </c>
      <c r="Q50" s="126"/>
      <c r="R50" s="13">
        <f>SUM(R12:R49)</f>
        <v>0.32291666666666657</v>
      </c>
    </row>
    <row r="51" spans="1:18" ht="16" thickTop="1" x14ac:dyDescent="0.2"/>
  </sheetData>
  <mergeCells count="188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A5E5-B723-3F4B-B3D7-A050ABF59A5B}">
  <dimension ref="A1:W51"/>
  <sheetViews>
    <sheetView tabSelected="1" topLeftCell="A2" workbookViewId="0">
      <selection activeCell="M24" sqref="M24:O24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2" t="s">
        <v>46</v>
      </c>
      <c r="T1" s="83"/>
      <c r="U1" s="83"/>
      <c r="V1" s="83"/>
      <c r="W1" s="83"/>
    </row>
    <row r="2" spans="1:23" ht="16" thickBot="1" x14ac:dyDescent="0.2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3"/>
      <c r="T2" s="83"/>
      <c r="U2" s="83"/>
      <c r="V2" s="83"/>
      <c r="W2" s="83"/>
    </row>
    <row r="3" spans="1:23" ht="16" thickTop="1" x14ac:dyDescent="0.2">
      <c r="A3" s="85" t="s">
        <v>6</v>
      </c>
      <c r="B3" s="86"/>
      <c r="C3" s="87"/>
      <c r="D3" s="88"/>
      <c r="E3" s="88"/>
      <c r="F3" s="88"/>
      <c r="G3" s="88"/>
      <c r="H3" s="88"/>
      <c r="I3" s="89"/>
      <c r="J3" s="85" t="s">
        <v>6</v>
      </c>
      <c r="K3" s="86"/>
      <c r="L3" s="87"/>
      <c r="M3" s="88"/>
      <c r="N3" s="88"/>
      <c r="O3" s="88"/>
      <c r="P3" s="88"/>
      <c r="Q3" s="88"/>
      <c r="R3" s="89"/>
      <c r="S3" s="90"/>
      <c r="T3" s="83"/>
      <c r="U3" s="83"/>
      <c r="V3" s="83"/>
      <c r="W3" s="83"/>
    </row>
    <row r="4" spans="1:23" x14ac:dyDescent="0.2">
      <c r="A4" s="91" t="s">
        <v>7</v>
      </c>
      <c r="B4" s="92"/>
      <c r="C4" s="73" t="s">
        <v>44</v>
      </c>
      <c r="D4" s="73"/>
      <c r="E4" s="73"/>
      <c r="F4" s="73"/>
      <c r="G4" s="73"/>
      <c r="H4" s="73"/>
      <c r="I4" s="74"/>
      <c r="J4" s="91" t="s">
        <v>7</v>
      </c>
      <c r="K4" s="92"/>
      <c r="L4" s="73" t="s">
        <v>44</v>
      </c>
      <c r="M4" s="73"/>
      <c r="N4" s="73"/>
      <c r="O4" s="73"/>
      <c r="P4" s="73"/>
      <c r="Q4" s="73"/>
      <c r="R4" s="74"/>
      <c r="S4" s="90"/>
      <c r="T4" s="83"/>
      <c r="U4" s="83"/>
      <c r="V4" s="83"/>
      <c r="W4" s="83"/>
    </row>
    <row r="5" spans="1:23" x14ac:dyDescent="0.2">
      <c r="A5" s="75" t="s">
        <v>2</v>
      </c>
      <c r="B5" s="76"/>
      <c r="C5" s="77" t="s">
        <v>3</v>
      </c>
      <c r="D5" s="77"/>
      <c r="E5" s="77"/>
      <c r="F5" s="77"/>
      <c r="G5" s="77"/>
      <c r="H5" s="77"/>
      <c r="I5" s="78"/>
      <c r="J5" s="75" t="s">
        <v>2</v>
      </c>
      <c r="K5" s="76"/>
      <c r="L5" s="77" t="s">
        <v>5</v>
      </c>
      <c r="M5" s="77"/>
      <c r="N5" s="77"/>
      <c r="O5" s="77"/>
      <c r="P5" s="77"/>
      <c r="Q5" s="77"/>
      <c r="R5" s="78"/>
      <c r="S5" s="90"/>
      <c r="T5" s="83"/>
      <c r="U5" s="83"/>
      <c r="V5" s="83"/>
      <c r="W5" s="83"/>
    </row>
    <row r="6" spans="1:23" ht="16" thickBot="1" x14ac:dyDescent="0.25">
      <c r="A6" s="79"/>
      <c r="B6" s="80"/>
      <c r="C6" s="80"/>
      <c r="D6" s="80"/>
      <c r="E6" s="80"/>
      <c r="F6" s="80"/>
      <c r="G6" s="80"/>
      <c r="H6" s="80"/>
      <c r="I6" s="81"/>
      <c r="J6" s="79"/>
      <c r="K6" s="80"/>
      <c r="L6" s="80"/>
      <c r="M6" s="80"/>
      <c r="N6" s="80"/>
      <c r="O6" s="80"/>
      <c r="P6" s="80"/>
      <c r="Q6" s="80"/>
      <c r="R6" s="81"/>
      <c r="S6" s="90"/>
      <c r="T6" s="83"/>
      <c r="U6" s="83"/>
      <c r="V6" s="83"/>
      <c r="W6" s="83"/>
    </row>
    <row r="7" spans="1:23" ht="16" thickBot="1" x14ac:dyDescent="0.25">
      <c r="A7" s="104" t="s">
        <v>8</v>
      </c>
      <c r="B7" s="105"/>
      <c r="C7" s="110" t="s">
        <v>43</v>
      </c>
      <c r="D7" s="93" t="s">
        <v>9</v>
      </c>
      <c r="E7" s="93"/>
      <c r="F7" s="94"/>
      <c r="G7" s="36" t="s">
        <v>10</v>
      </c>
      <c r="H7" s="37"/>
      <c r="I7" s="99"/>
      <c r="J7" s="104" t="s">
        <v>8</v>
      </c>
      <c r="K7" s="105"/>
      <c r="L7" s="110" t="s">
        <v>43</v>
      </c>
      <c r="M7" s="93" t="s">
        <v>9</v>
      </c>
      <c r="N7" s="93"/>
      <c r="O7" s="94"/>
      <c r="P7" s="36" t="s">
        <v>10</v>
      </c>
      <c r="Q7" s="37"/>
      <c r="R7" s="99"/>
      <c r="S7" s="90"/>
      <c r="T7" s="83"/>
      <c r="U7" s="83"/>
      <c r="V7" s="83"/>
      <c r="W7" s="83"/>
    </row>
    <row r="8" spans="1:23" ht="16" thickTop="1" x14ac:dyDescent="0.2">
      <c r="A8" s="106"/>
      <c r="B8" s="107"/>
      <c r="C8" s="111"/>
      <c r="D8" s="95"/>
      <c r="E8" s="95"/>
      <c r="F8" s="96"/>
      <c r="G8" s="100" t="s">
        <v>11</v>
      </c>
      <c r="H8" s="100" t="s">
        <v>12</v>
      </c>
      <c r="I8" s="102" t="s">
        <v>13</v>
      </c>
      <c r="J8" s="106"/>
      <c r="K8" s="107"/>
      <c r="L8" s="111"/>
      <c r="M8" s="95"/>
      <c r="N8" s="95"/>
      <c r="O8" s="96"/>
      <c r="P8" s="100" t="s">
        <v>11</v>
      </c>
      <c r="Q8" s="100" t="s">
        <v>12</v>
      </c>
      <c r="R8" s="102" t="s">
        <v>13</v>
      </c>
      <c r="S8" s="90"/>
      <c r="T8" s="83"/>
      <c r="U8" s="83"/>
      <c r="V8" s="83"/>
      <c r="W8" s="83"/>
    </row>
    <row r="9" spans="1:23" x14ac:dyDescent="0.2">
      <c r="A9" s="106"/>
      <c r="B9" s="107"/>
      <c r="C9" s="111"/>
      <c r="D9" s="95"/>
      <c r="E9" s="95"/>
      <c r="F9" s="96"/>
      <c r="G9" s="100"/>
      <c r="H9" s="100"/>
      <c r="I9" s="102"/>
      <c r="J9" s="106"/>
      <c r="K9" s="107"/>
      <c r="L9" s="111"/>
      <c r="M9" s="95"/>
      <c r="N9" s="95"/>
      <c r="O9" s="96"/>
      <c r="P9" s="100"/>
      <c r="Q9" s="100"/>
      <c r="R9" s="102"/>
      <c r="S9" s="90"/>
      <c r="T9" s="83"/>
      <c r="U9" s="83"/>
      <c r="V9" s="83"/>
      <c r="W9" s="83"/>
    </row>
    <row r="10" spans="1:23" x14ac:dyDescent="0.2">
      <c r="A10" s="106"/>
      <c r="B10" s="107"/>
      <c r="C10" s="111"/>
      <c r="D10" s="95"/>
      <c r="E10" s="95"/>
      <c r="F10" s="96"/>
      <c r="G10" s="100"/>
      <c r="H10" s="100"/>
      <c r="I10" s="102"/>
      <c r="J10" s="106"/>
      <c r="K10" s="107"/>
      <c r="L10" s="111"/>
      <c r="M10" s="95"/>
      <c r="N10" s="95"/>
      <c r="O10" s="96"/>
      <c r="P10" s="100"/>
      <c r="Q10" s="100"/>
      <c r="R10" s="102"/>
      <c r="S10" s="90"/>
      <c r="T10" s="83"/>
      <c r="U10" s="83"/>
      <c r="V10" s="83"/>
      <c r="W10" s="83"/>
    </row>
    <row r="11" spans="1:23" ht="16" thickBot="1" x14ac:dyDescent="0.25">
      <c r="A11" s="108"/>
      <c r="B11" s="109"/>
      <c r="C11" s="112"/>
      <c r="D11" s="97"/>
      <c r="E11" s="97"/>
      <c r="F11" s="98"/>
      <c r="G11" s="101"/>
      <c r="H11" s="101"/>
      <c r="I11" s="103"/>
      <c r="J11" s="108"/>
      <c r="K11" s="109"/>
      <c r="L11" s="112"/>
      <c r="M11" s="97"/>
      <c r="N11" s="97"/>
      <c r="O11" s="98"/>
      <c r="P11" s="101"/>
      <c r="Q11" s="101"/>
      <c r="R11" s="103"/>
      <c r="S11" s="90"/>
      <c r="T11" s="83"/>
      <c r="U11" s="83"/>
      <c r="V11" s="83"/>
      <c r="W11" s="83"/>
    </row>
    <row r="12" spans="1:23" x14ac:dyDescent="0.2">
      <c r="A12" s="116"/>
      <c r="B12" s="117"/>
      <c r="C12" s="14"/>
      <c r="D12" s="118"/>
      <c r="E12" s="118"/>
      <c r="F12" s="119"/>
      <c r="G12" s="2"/>
      <c r="H12" s="3"/>
      <c r="I12" s="4">
        <f>H12-G12</f>
        <v>0</v>
      </c>
      <c r="J12" s="116">
        <v>44990</v>
      </c>
      <c r="K12" s="117"/>
      <c r="L12" s="14"/>
      <c r="M12" s="73" t="s">
        <v>121</v>
      </c>
      <c r="N12" s="73"/>
      <c r="O12" s="115"/>
      <c r="P12" s="2">
        <v>0.625</v>
      </c>
      <c r="Q12" s="3">
        <v>0.66666666666666663</v>
      </c>
      <c r="R12" s="4">
        <f>Q12-P12</f>
        <v>4.166666666666663E-2</v>
      </c>
    </row>
    <row r="13" spans="1:23" x14ac:dyDescent="0.2">
      <c r="A13" s="113"/>
      <c r="B13" s="114"/>
      <c r="C13" s="7"/>
      <c r="D13" s="73"/>
      <c r="E13" s="73"/>
      <c r="F13" s="115"/>
      <c r="G13" s="5"/>
      <c r="H13" s="6"/>
      <c r="I13" s="4">
        <f>H13-G13</f>
        <v>0</v>
      </c>
      <c r="J13" s="113">
        <v>44990</v>
      </c>
      <c r="K13" s="114"/>
      <c r="L13" s="7"/>
      <c r="M13" s="73" t="s">
        <v>119</v>
      </c>
      <c r="N13" s="73"/>
      <c r="O13" s="115"/>
      <c r="P13" s="5">
        <v>0.70833333333333337</v>
      </c>
      <c r="Q13" s="6">
        <v>0.79166666666666663</v>
      </c>
      <c r="R13" s="4">
        <f>Q13-P13</f>
        <v>8.3333333333333259E-2</v>
      </c>
    </row>
    <row r="14" spans="1:23" x14ac:dyDescent="0.2">
      <c r="A14" s="113"/>
      <c r="B14" s="114"/>
      <c r="C14" s="7"/>
      <c r="D14" s="73"/>
      <c r="E14" s="73"/>
      <c r="F14" s="115"/>
      <c r="G14" s="5"/>
      <c r="H14" s="6"/>
      <c r="I14" s="4">
        <f t="shared" ref="I14:I49" si="0">H14-G14</f>
        <v>0</v>
      </c>
      <c r="J14" s="136">
        <v>44991</v>
      </c>
      <c r="K14" s="137"/>
      <c r="L14" s="138"/>
      <c r="M14" s="146" t="s">
        <v>119</v>
      </c>
      <c r="N14" s="146"/>
      <c r="O14" s="147"/>
      <c r="P14" s="139">
        <v>0.875</v>
      </c>
      <c r="Q14" s="140">
        <v>0.95833333333333337</v>
      </c>
      <c r="R14" s="141">
        <v>8.3333333333333329E-2</v>
      </c>
    </row>
    <row r="15" spans="1:23" x14ac:dyDescent="0.2">
      <c r="A15" s="113"/>
      <c r="B15" s="114"/>
      <c r="C15" s="7"/>
      <c r="D15" s="73"/>
      <c r="E15" s="73"/>
      <c r="F15" s="115"/>
      <c r="G15" s="5"/>
      <c r="H15" s="6"/>
      <c r="I15" s="4">
        <f t="shared" si="0"/>
        <v>0</v>
      </c>
      <c r="J15" s="136">
        <v>44991</v>
      </c>
      <c r="K15" s="148"/>
      <c r="L15" s="142"/>
      <c r="M15" s="146" t="s">
        <v>120</v>
      </c>
      <c r="N15" s="146"/>
      <c r="O15" s="147"/>
      <c r="P15" s="143">
        <v>0.95833333333333337</v>
      </c>
      <c r="Q15" s="144">
        <v>2.0833333333333332E-2</v>
      </c>
      <c r="R15" s="145">
        <v>6.25E-2</v>
      </c>
    </row>
    <row r="16" spans="1:23" x14ac:dyDescent="0.2">
      <c r="A16" s="113"/>
      <c r="B16" s="114"/>
      <c r="C16" s="7"/>
      <c r="D16" s="73"/>
      <c r="E16" s="73"/>
      <c r="F16" s="115"/>
      <c r="G16" s="5"/>
      <c r="H16" s="6"/>
      <c r="I16" s="4">
        <f t="shared" si="0"/>
        <v>0</v>
      </c>
      <c r="J16" s="113"/>
      <c r="K16" s="120"/>
      <c r="L16" s="7"/>
      <c r="M16" s="73"/>
      <c r="N16" s="73"/>
      <c r="O16" s="115"/>
      <c r="P16" s="5"/>
      <c r="Q16" s="6"/>
      <c r="R16" s="4">
        <f>Q16-P16</f>
        <v>0</v>
      </c>
    </row>
    <row r="17" spans="1:18" x14ac:dyDescent="0.2">
      <c r="A17" s="113"/>
      <c r="B17" s="114"/>
      <c r="C17" s="7"/>
      <c r="D17" s="73"/>
      <c r="E17" s="73"/>
      <c r="F17" s="115"/>
      <c r="G17" s="5"/>
      <c r="H17" s="6"/>
      <c r="I17" s="4">
        <f t="shared" si="0"/>
        <v>0</v>
      </c>
      <c r="J17" s="113"/>
      <c r="K17" s="114"/>
      <c r="L17" s="7"/>
      <c r="M17" s="73"/>
      <c r="N17" s="73"/>
      <c r="O17" s="115"/>
      <c r="P17" s="5"/>
      <c r="Q17" s="6"/>
      <c r="R17" s="4">
        <f t="shared" ref="R14:R40" si="1">Q17-P17</f>
        <v>0</v>
      </c>
    </row>
    <row r="18" spans="1:18" x14ac:dyDescent="0.2">
      <c r="A18" s="113"/>
      <c r="B18" s="114"/>
      <c r="C18" s="7"/>
      <c r="D18" s="73"/>
      <c r="E18" s="73"/>
      <c r="F18" s="115"/>
      <c r="G18" s="5"/>
      <c r="H18" s="6"/>
      <c r="I18" s="4">
        <f t="shared" si="0"/>
        <v>0</v>
      </c>
      <c r="J18" s="113"/>
      <c r="K18" s="114"/>
      <c r="L18" s="7"/>
      <c r="M18" s="73"/>
      <c r="N18" s="73"/>
      <c r="O18" s="115"/>
      <c r="P18" s="5"/>
      <c r="Q18" s="6"/>
      <c r="R18" s="4">
        <f t="shared" si="1"/>
        <v>0</v>
      </c>
    </row>
    <row r="19" spans="1:18" x14ac:dyDescent="0.2">
      <c r="A19" s="113"/>
      <c r="B19" s="114"/>
      <c r="C19" s="7"/>
      <c r="D19" s="73"/>
      <c r="E19" s="73"/>
      <c r="F19" s="115"/>
      <c r="G19" s="5"/>
      <c r="H19" s="6"/>
      <c r="I19" s="4">
        <f t="shared" si="0"/>
        <v>0</v>
      </c>
      <c r="J19" s="113"/>
      <c r="K19" s="114"/>
      <c r="L19" s="7"/>
      <c r="M19" s="73"/>
      <c r="N19" s="73"/>
      <c r="O19" s="115"/>
      <c r="P19" s="5"/>
      <c r="Q19" s="6"/>
      <c r="R19" s="4">
        <f>Q19-P19</f>
        <v>0</v>
      </c>
    </row>
    <row r="20" spans="1:18" x14ac:dyDescent="0.2">
      <c r="A20" s="113"/>
      <c r="B20" s="114"/>
      <c r="C20" s="7"/>
      <c r="D20" s="73"/>
      <c r="E20" s="73"/>
      <c r="F20" s="115"/>
      <c r="G20" s="5"/>
      <c r="H20" s="6"/>
      <c r="I20" s="4">
        <f t="shared" si="0"/>
        <v>0</v>
      </c>
      <c r="J20" s="113"/>
      <c r="K20" s="114"/>
      <c r="L20" s="7"/>
      <c r="M20" s="73"/>
      <c r="N20" s="73"/>
      <c r="O20" s="115"/>
      <c r="P20" s="5"/>
      <c r="Q20" s="6"/>
      <c r="R20" s="4">
        <f t="shared" si="1"/>
        <v>0</v>
      </c>
    </row>
    <row r="21" spans="1:18" x14ac:dyDescent="0.2">
      <c r="A21" s="113"/>
      <c r="B21" s="114"/>
      <c r="C21" s="7"/>
      <c r="D21" s="73"/>
      <c r="E21" s="73"/>
      <c r="F21" s="115"/>
      <c r="G21" s="5"/>
      <c r="H21" s="6"/>
      <c r="I21" s="4">
        <f t="shared" si="0"/>
        <v>0</v>
      </c>
      <c r="J21" s="113"/>
      <c r="K21" s="114"/>
      <c r="L21" s="7"/>
      <c r="M21" s="114"/>
      <c r="N21" s="114"/>
      <c r="O21" s="121"/>
      <c r="P21" s="5"/>
      <c r="Q21" s="6"/>
      <c r="R21" s="4">
        <f t="shared" si="1"/>
        <v>0</v>
      </c>
    </row>
    <row r="22" spans="1:18" x14ac:dyDescent="0.2">
      <c r="A22" s="113"/>
      <c r="B22" s="114"/>
      <c r="C22" s="7"/>
      <c r="D22" s="114"/>
      <c r="E22" s="114"/>
      <c r="F22" s="121"/>
      <c r="G22" s="5"/>
      <c r="H22" s="6"/>
      <c r="I22" s="4">
        <f t="shared" si="0"/>
        <v>0</v>
      </c>
      <c r="J22" s="113"/>
      <c r="K22" s="114"/>
      <c r="L22" s="7"/>
      <c r="M22" s="114"/>
      <c r="N22" s="114"/>
      <c r="O22" s="121"/>
      <c r="P22" s="5"/>
      <c r="Q22" s="6"/>
      <c r="R22" s="4">
        <f t="shared" si="1"/>
        <v>0</v>
      </c>
    </row>
    <row r="23" spans="1:18" x14ac:dyDescent="0.2">
      <c r="A23" s="113"/>
      <c r="B23" s="114"/>
      <c r="C23" s="7"/>
      <c r="D23" s="114"/>
      <c r="E23" s="114"/>
      <c r="F23" s="121"/>
      <c r="G23" s="5"/>
      <c r="H23" s="6"/>
      <c r="I23" s="4">
        <f t="shared" si="0"/>
        <v>0</v>
      </c>
      <c r="J23" s="113"/>
      <c r="K23" s="114"/>
      <c r="L23" s="7"/>
      <c r="M23" s="114"/>
      <c r="N23" s="114"/>
      <c r="O23" s="121"/>
      <c r="P23" s="5"/>
      <c r="Q23" s="6"/>
      <c r="R23" s="4">
        <f t="shared" si="1"/>
        <v>0</v>
      </c>
    </row>
    <row r="24" spans="1:18" x14ac:dyDescent="0.2">
      <c r="A24" s="113"/>
      <c r="B24" s="114"/>
      <c r="C24" s="7"/>
      <c r="D24" s="114"/>
      <c r="E24" s="114"/>
      <c r="F24" s="121"/>
      <c r="G24" s="5"/>
      <c r="H24" s="6"/>
      <c r="I24" s="4">
        <f t="shared" si="0"/>
        <v>0</v>
      </c>
      <c r="J24" s="113"/>
      <c r="K24" s="114"/>
      <c r="L24" s="7"/>
      <c r="M24" s="114"/>
      <c r="N24" s="114"/>
      <c r="O24" s="121"/>
      <c r="P24" s="5"/>
      <c r="Q24" s="6"/>
      <c r="R24" s="4">
        <f t="shared" si="1"/>
        <v>0</v>
      </c>
    </row>
    <row r="25" spans="1:18" x14ac:dyDescent="0.2">
      <c r="A25" s="113"/>
      <c r="B25" s="114"/>
      <c r="C25" s="7"/>
      <c r="D25" s="114"/>
      <c r="E25" s="114"/>
      <c r="F25" s="121"/>
      <c r="G25" s="5"/>
      <c r="H25" s="6"/>
      <c r="I25" s="4">
        <f t="shared" si="0"/>
        <v>0</v>
      </c>
      <c r="J25" s="113"/>
      <c r="K25" s="114"/>
      <c r="L25" s="7"/>
      <c r="M25" s="114"/>
      <c r="N25" s="114"/>
      <c r="O25" s="121"/>
      <c r="P25" s="5"/>
      <c r="Q25" s="6"/>
      <c r="R25" s="4">
        <f t="shared" si="1"/>
        <v>0</v>
      </c>
    </row>
    <row r="26" spans="1:18" x14ac:dyDescent="0.2">
      <c r="A26" s="122"/>
      <c r="B26" s="114"/>
      <c r="C26" s="7"/>
      <c r="D26" s="114"/>
      <c r="E26" s="114"/>
      <c r="F26" s="121"/>
      <c r="G26" s="7"/>
      <c r="H26" s="8"/>
      <c r="I26" s="4">
        <f t="shared" si="0"/>
        <v>0</v>
      </c>
      <c r="J26" s="113"/>
      <c r="K26" s="114"/>
      <c r="L26" s="7"/>
      <c r="M26" s="114"/>
      <c r="N26" s="114"/>
      <c r="O26" s="121"/>
      <c r="P26" s="5"/>
      <c r="Q26" s="6"/>
      <c r="R26" s="4">
        <f t="shared" si="1"/>
        <v>0</v>
      </c>
    </row>
    <row r="27" spans="1:18" x14ac:dyDescent="0.2">
      <c r="A27" s="122"/>
      <c r="B27" s="114"/>
      <c r="C27" s="7"/>
      <c r="D27" s="114"/>
      <c r="E27" s="114"/>
      <c r="F27" s="121"/>
      <c r="G27" s="7"/>
      <c r="H27" s="8"/>
      <c r="I27" s="4">
        <f t="shared" si="0"/>
        <v>0</v>
      </c>
      <c r="J27" s="122"/>
      <c r="K27" s="114"/>
      <c r="L27" s="7"/>
      <c r="M27" s="114"/>
      <c r="N27" s="114"/>
      <c r="O27" s="121"/>
      <c r="P27" s="7"/>
      <c r="Q27" s="8"/>
      <c r="R27" s="4">
        <f t="shared" si="1"/>
        <v>0</v>
      </c>
    </row>
    <row r="28" spans="1:18" x14ac:dyDescent="0.2">
      <c r="A28" s="122"/>
      <c r="B28" s="114"/>
      <c r="C28" s="7"/>
      <c r="D28" s="114"/>
      <c r="E28" s="114"/>
      <c r="F28" s="121"/>
      <c r="G28" s="7"/>
      <c r="H28" s="8"/>
      <c r="I28" s="4">
        <f t="shared" si="0"/>
        <v>0</v>
      </c>
      <c r="J28" s="122"/>
      <c r="K28" s="114"/>
      <c r="L28" s="7"/>
      <c r="M28" s="114"/>
      <c r="N28" s="114"/>
      <c r="O28" s="121"/>
      <c r="P28" s="7"/>
      <c r="Q28" s="8"/>
      <c r="R28" s="4">
        <f t="shared" si="1"/>
        <v>0</v>
      </c>
    </row>
    <row r="29" spans="1:18" x14ac:dyDescent="0.2">
      <c r="A29" s="122"/>
      <c r="B29" s="114"/>
      <c r="C29" s="7"/>
      <c r="D29" s="114"/>
      <c r="E29" s="114"/>
      <c r="F29" s="121"/>
      <c r="G29" s="7"/>
      <c r="H29" s="8"/>
      <c r="I29" s="4">
        <f t="shared" si="0"/>
        <v>0</v>
      </c>
      <c r="J29" s="122"/>
      <c r="K29" s="114"/>
      <c r="L29" s="7"/>
      <c r="M29" s="114"/>
      <c r="N29" s="114"/>
      <c r="O29" s="121"/>
      <c r="P29" s="7"/>
      <c r="Q29" s="8"/>
      <c r="R29" s="4">
        <f t="shared" si="1"/>
        <v>0</v>
      </c>
    </row>
    <row r="30" spans="1:18" x14ac:dyDescent="0.2">
      <c r="A30" s="122"/>
      <c r="B30" s="114"/>
      <c r="C30" s="7"/>
      <c r="D30" s="114"/>
      <c r="E30" s="114"/>
      <c r="F30" s="121"/>
      <c r="G30" s="7"/>
      <c r="H30" s="8"/>
      <c r="I30" s="4">
        <f t="shared" si="0"/>
        <v>0</v>
      </c>
      <c r="J30" s="122"/>
      <c r="K30" s="114"/>
      <c r="L30" s="7"/>
      <c r="M30" s="114"/>
      <c r="N30" s="114"/>
      <c r="O30" s="121"/>
      <c r="P30" s="7"/>
      <c r="Q30" s="8"/>
      <c r="R30" s="4">
        <f t="shared" si="1"/>
        <v>0</v>
      </c>
    </row>
    <row r="31" spans="1:18" x14ac:dyDescent="0.2">
      <c r="A31" s="122"/>
      <c r="B31" s="114"/>
      <c r="C31" s="7"/>
      <c r="D31" s="114"/>
      <c r="E31" s="114"/>
      <c r="F31" s="121"/>
      <c r="G31" s="7"/>
      <c r="H31" s="8"/>
      <c r="I31" s="4">
        <f t="shared" si="0"/>
        <v>0</v>
      </c>
      <c r="J31" s="122"/>
      <c r="K31" s="114"/>
      <c r="L31" s="7"/>
      <c r="M31" s="114"/>
      <c r="N31" s="114"/>
      <c r="O31" s="121"/>
      <c r="P31" s="7"/>
      <c r="Q31" s="8"/>
      <c r="R31" s="4">
        <f t="shared" si="1"/>
        <v>0</v>
      </c>
    </row>
    <row r="32" spans="1:18" x14ac:dyDescent="0.2">
      <c r="A32" s="122"/>
      <c r="B32" s="114"/>
      <c r="C32" s="7"/>
      <c r="D32" s="114"/>
      <c r="E32" s="114"/>
      <c r="F32" s="121"/>
      <c r="G32" s="7"/>
      <c r="H32" s="8"/>
      <c r="I32" s="4">
        <f t="shared" si="0"/>
        <v>0</v>
      </c>
      <c r="J32" s="122"/>
      <c r="K32" s="114"/>
      <c r="L32" s="7"/>
      <c r="M32" s="114"/>
      <c r="N32" s="114"/>
      <c r="O32" s="121"/>
      <c r="P32" s="7"/>
      <c r="Q32" s="8"/>
      <c r="R32" s="4">
        <f t="shared" si="1"/>
        <v>0</v>
      </c>
    </row>
    <row r="33" spans="1:18" x14ac:dyDescent="0.2">
      <c r="A33" s="122"/>
      <c r="B33" s="114"/>
      <c r="C33" s="7"/>
      <c r="D33" s="114"/>
      <c r="E33" s="114"/>
      <c r="F33" s="121"/>
      <c r="G33" s="7"/>
      <c r="H33" s="8"/>
      <c r="I33" s="4">
        <f t="shared" si="0"/>
        <v>0</v>
      </c>
      <c r="J33" s="122"/>
      <c r="K33" s="114"/>
      <c r="L33" s="7"/>
      <c r="M33" s="114"/>
      <c r="N33" s="114"/>
      <c r="O33" s="121"/>
      <c r="P33" s="7"/>
      <c r="Q33" s="8"/>
      <c r="R33" s="4">
        <f t="shared" si="1"/>
        <v>0</v>
      </c>
    </row>
    <row r="34" spans="1:18" x14ac:dyDescent="0.2">
      <c r="A34" s="122"/>
      <c r="B34" s="114"/>
      <c r="C34" s="7"/>
      <c r="D34" s="114"/>
      <c r="E34" s="114"/>
      <c r="F34" s="121"/>
      <c r="G34" s="7"/>
      <c r="H34" s="8"/>
      <c r="I34" s="4">
        <f t="shared" si="0"/>
        <v>0</v>
      </c>
      <c r="J34" s="122"/>
      <c r="K34" s="114"/>
      <c r="L34" s="7"/>
      <c r="M34" s="114"/>
      <c r="N34" s="114"/>
      <c r="O34" s="121"/>
      <c r="P34" s="7"/>
      <c r="Q34" s="8"/>
      <c r="R34" s="4">
        <f t="shared" si="1"/>
        <v>0</v>
      </c>
    </row>
    <row r="35" spans="1:18" x14ac:dyDescent="0.2">
      <c r="A35" s="122"/>
      <c r="B35" s="114"/>
      <c r="C35" s="7"/>
      <c r="D35" s="114"/>
      <c r="E35" s="114"/>
      <c r="F35" s="121"/>
      <c r="G35" s="7"/>
      <c r="H35" s="8"/>
      <c r="I35" s="4">
        <f t="shared" si="0"/>
        <v>0</v>
      </c>
      <c r="J35" s="122"/>
      <c r="K35" s="114"/>
      <c r="L35" s="7"/>
      <c r="M35" s="114"/>
      <c r="N35" s="114"/>
      <c r="O35" s="121"/>
      <c r="P35" s="7"/>
      <c r="Q35" s="8"/>
      <c r="R35" s="4">
        <f t="shared" si="1"/>
        <v>0</v>
      </c>
    </row>
    <row r="36" spans="1:18" x14ac:dyDescent="0.2">
      <c r="A36" s="122"/>
      <c r="B36" s="114"/>
      <c r="C36" s="7"/>
      <c r="D36" s="114"/>
      <c r="E36" s="114"/>
      <c r="F36" s="121"/>
      <c r="G36" s="7"/>
      <c r="H36" s="8"/>
      <c r="I36" s="4">
        <f t="shared" si="0"/>
        <v>0</v>
      </c>
      <c r="J36" s="122"/>
      <c r="K36" s="114"/>
      <c r="L36" s="7"/>
      <c r="M36" s="114"/>
      <c r="N36" s="114"/>
      <c r="O36" s="121"/>
      <c r="P36" s="7"/>
      <c r="Q36" s="8"/>
      <c r="R36" s="4">
        <f t="shared" si="1"/>
        <v>0</v>
      </c>
    </row>
    <row r="37" spans="1:18" x14ac:dyDescent="0.2">
      <c r="A37" s="122"/>
      <c r="B37" s="114"/>
      <c r="C37" s="7"/>
      <c r="D37" s="114"/>
      <c r="E37" s="114"/>
      <c r="F37" s="121"/>
      <c r="G37" s="7"/>
      <c r="H37" s="8"/>
      <c r="I37" s="4">
        <f t="shared" si="0"/>
        <v>0</v>
      </c>
      <c r="J37" s="122"/>
      <c r="K37" s="114"/>
      <c r="L37" s="7"/>
      <c r="M37" s="114"/>
      <c r="N37" s="114"/>
      <c r="O37" s="121"/>
      <c r="P37" s="7"/>
      <c r="Q37" s="8"/>
      <c r="R37" s="4">
        <f t="shared" si="1"/>
        <v>0</v>
      </c>
    </row>
    <row r="38" spans="1:18" x14ac:dyDescent="0.2">
      <c r="A38" s="122"/>
      <c r="B38" s="114"/>
      <c r="C38" s="7"/>
      <c r="D38" s="114"/>
      <c r="E38" s="114"/>
      <c r="F38" s="121"/>
      <c r="G38" s="7"/>
      <c r="H38" s="8"/>
      <c r="I38" s="4">
        <f t="shared" si="0"/>
        <v>0</v>
      </c>
      <c r="J38" s="122"/>
      <c r="K38" s="114"/>
      <c r="L38" s="7"/>
      <c r="M38" s="114"/>
      <c r="N38" s="114"/>
      <c r="O38" s="121"/>
      <c r="P38" s="7"/>
      <c r="Q38" s="8"/>
      <c r="R38" s="4">
        <f t="shared" si="1"/>
        <v>0</v>
      </c>
    </row>
    <row r="39" spans="1:18" x14ac:dyDescent="0.2">
      <c r="A39" s="122"/>
      <c r="B39" s="114"/>
      <c r="C39" s="7"/>
      <c r="D39" s="114"/>
      <c r="E39" s="114"/>
      <c r="F39" s="121"/>
      <c r="G39" s="7"/>
      <c r="H39" s="8"/>
      <c r="I39" s="4">
        <f t="shared" si="0"/>
        <v>0</v>
      </c>
      <c r="J39" s="122"/>
      <c r="K39" s="114"/>
      <c r="L39" s="7"/>
      <c r="M39" s="114"/>
      <c r="N39" s="114"/>
      <c r="O39" s="121"/>
      <c r="P39" s="7"/>
      <c r="Q39" s="8"/>
      <c r="R39" s="4">
        <f t="shared" si="1"/>
        <v>0</v>
      </c>
    </row>
    <row r="40" spans="1:18" x14ac:dyDescent="0.2">
      <c r="A40" s="123"/>
      <c r="B40" s="124"/>
      <c r="C40" s="7"/>
      <c r="D40" s="114"/>
      <c r="E40" s="114"/>
      <c r="F40" s="121"/>
      <c r="G40" s="9"/>
      <c r="H40" s="1"/>
      <c r="I40" s="4">
        <f>H40-G40</f>
        <v>0</v>
      </c>
      <c r="J40" s="122"/>
      <c r="K40" s="114"/>
      <c r="L40" s="7"/>
      <c r="M40" s="114"/>
      <c r="N40" s="114"/>
      <c r="O40" s="121"/>
      <c r="P40" s="7"/>
      <c r="Q40" s="8"/>
      <c r="R40" s="4">
        <f t="shared" si="1"/>
        <v>0</v>
      </c>
    </row>
    <row r="41" spans="1:18" x14ac:dyDescent="0.2">
      <c r="A41" s="122"/>
      <c r="B41" s="114"/>
      <c r="C41" s="7"/>
      <c r="D41" s="114"/>
      <c r="E41" s="114"/>
      <c r="F41" s="121"/>
      <c r="G41" s="7"/>
      <c r="H41" s="8"/>
      <c r="I41" s="4">
        <f t="shared" si="0"/>
        <v>0</v>
      </c>
      <c r="J41" s="123"/>
      <c r="K41" s="124"/>
      <c r="L41" s="7"/>
      <c r="M41" s="114"/>
      <c r="N41" s="114"/>
      <c r="O41" s="121"/>
      <c r="P41" s="9"/>
      <c r="Q41" s="1"/>
      <c r="R41" s="4">
        <f>Q41-P41</f>
        <v>0</v>
      </c>
    </row>
    <row r="42" spans="1:18" x14ac:dyDescent="0.2">
      <c r="A42" s="122"/>
      <c r="B42" s="114"/>
      <c r="C42" s="7"/>
      <c r="D42" s="114"/>
      <c r="E42" s="114"/>
      <c r="F42" s="121"/>
      <c r="G42" s="7"/>
      <c r="H42" s="8"/>
      <c r="I42" s="4">
        <f t="shared" si="0"/>
        <v>0</v>
      </c>
      <c r="J42" s="122"/>
      <c r="K42" s="114"/>
      <c r="L42" s="7"/>
      <c r="M42" s="114"/>
      <c r="N42" s="114"/>
      <c r="O42" s="121"/>
      <c r="P42" s="7"/>
      <c r="Q42" s="8"/>
      <c r="R42" s="4">
        <f t="shared" ref="R42:R49" si="2">Q42-P42</f>
        <v>0</v>
      </c>
    </row>
    <row r="43" spans="1:18" x14ac:dyDescent="0.2">
      <c r="A43" s="122"/>
      <c r="B43" s="114"/>
      <c r="C43" s="7"/>
      <c r="D43" s="114"/>
      <c r="E43" s="114"/>
      <c r="F43" s="121"/>
      <c r="G43" s="7"/>
      <c r="H43" s="8"/>
      <c r="I43" s="4">
        <f t="shared" si="0"/>
        <v>0</v>
      </c>
      <c r="J43" s="122"/>
      <c r="K43" s="114"/>
      <c r="L43" s="7"/>
      <c r="M43" s="114"/>
      <c r="N43" s="114"/>
      <c r="O43" s="121"/>
      <c r="P43" s="7"/>
      <c r="Q43" s="8"/>
      <c r="R43" s="4">
        <f t="shared" si="2"/>
        <v>0</v>
      </c>
    </row>
    <row r="44" spans="1:18" x14ac:dyDescent="0.2">
      <c r="A44" s="122"/>
      <c r="B44" s="114"/>
      <c r="C44" s="7"/>
      <c r="D44" s="114"/>
      <c r="E44" s="114"/>
      <c r="F44" s="121"/>
      <c r="G44" s="7"/>
      <c r="H44" s="8"/>
      <c r="I44" s="4">
        <f t="shared" si="0"/>
        <v>0</v>
      </c>
      <c r="J44" s="122"/>
      <c r="K44" s="114"/>
      <c r="L44" s="7"/>
      <c r="M44" s="114"/>
      <c r="N44" s="114"/>
      <c r="O44" s="121"/>
      <c r="P44" s="7"/>
      <c r="Q44" s="8"/>
      <c r="R44" s="4">
        <f t="shared" si="2"/>
        <v>0</v>
      </c>
    </row>
    <row r="45" spans="1:18" x14ac:dyDescent="0.2">
      <c r="A45" s="122"/>
      <c r="B45" s="114"/>
      <c r="C45" s="7"/>
      <c r="D45" s="114"/>
      <c r="E45" s="114"/>
      <c r="F45" s="121"/>
      <c r="G45" s="7"/>
      <c r="H45" s="8"/>
      <c r="I45" s="4">
        <f t="shared" si="0"/>
        <v>0</v>
      </c>
      <c r="J45" s="122"/>
      <c r="K45" s="114"/>
      <c r="L45" s="7"/>
      <c r="M45" s="114"/>
      <c r="N45" s="114"/>
      <c r="O45" s="121"/>
      <c r="P45" s="7"/>
      <c r="Q45" s="8"/>
      <c r="R45" s="4">
        <f t="shared" si="2"/>
        <v>0</v>
      </c>
    </row>
    <row r="46" spans="1:18" x14ac:dyDescent="0.2">
      <c r="A46" s="122"/>
      <c r="B46" s="114"/>
      <c r="C46" s="7"/>
      <c r="D46" s="114"/>
      <c r="E46" s="114"/>
      <c r="F46" s="121"/>
      <c r="G46" s="7"/>
      <c r="H46" s="8"/>
      <c r="I46" s="4">
        <f t="shared" si="0"/>
        <v>0</v>
      </c>
      <c r="J46" s="122"/>
      <c r="K46" s="114"/>
      <c r="L46" s="7"/>
      <c r="M46" s="114"/>
      <c r="N46" s="114"/>
      <c r="O46" s="121"/>
      <c r="P46" s="7"/>
      <c r="Q46" s="8"/>
      <c r="R46" s="4">
        <f t="shared" si="2"/>
        <v>0</v>
      </c>
    </row>
    <row r="47" spans="1:18" x14ac:dyDescent="0.2">
      <c r="A47" s="122"/>
      <c r="B47" s="114"/>
      <c r="C47" s="7"/>
      <c r="D47" s="114"/>
      <c r="E47" s="114"/>
      <c r="F47" s="121"/>
      <c r="G47" s="7"/>
      <c r="H47" s="8"/>
      <c r="I47" s="4">
        <f t="shared" si="0"/>
        <v>0</v>
      </c>
      <c r="J47" s="122"/>
      <c r="K47" s="114"/>
      <c r="L47" s="7"/>
      <c r="M47" s="114"/>
      <c r="N47" s="114"/>
      <c r="O47" s="121"/>
      <c r="P47" s="7"/>
      <c r="Q47" s="8"/>
      <c r="R47" s="4">
        <f t="shared" si="2"/>
        <v>0</v>
      </c>
    </row>
    <row r="48" spans="1:18" x14ac:dyDescent="0.2">
      <c r="A48" s="122"/>
      <c r="B48" s="114"/>
      <c r="C48" s="7"/>
      <c r="D48" s="114"/>
      <c r="E48" s="114"/>
      <c r="F48" s="121"/>
      <c r="G48" s="7"/>
      <c r="H48" s="8"/>
      <c r="I48" s="4">
        <f t="shared" si="0"/>
        <v>0</v>
      </c>
      <c r="J48" s="122"/>
      <c r="K48" s="114"/>
      <c r="L48" s="7"/>
      <c r="M48" s="114"/>
      <c r="N48" s="114"/>
      <c r="O48" s="121"/>
      <c r="P48" s="7"/>
      <c r="Q48" s="8"/>
      <c r="R48" s="4">
        <f t="shared" si="2"/>
        <v>0</v>
      </c>
    </row>
    <row r="49" spans="1:18" ht="16" thickBot="1" x14ac:dyDescent="0.25">
      <c r="A49" s="79"/>
      <c r="B49" s="80"/>
      <c r="C49" s="10"/>
      <c r="D49" s="114"/>
      <c r="E49" s="114"/>
      <c r="F49" s="121"/>
      <c r="G49" s="10"/>
      <c r="H49" s="11"/>
      <c r="I49" s="12">
        <f t="shared" si="0"/>
        <v>0</v>
      </c>
      <c r="J49" s="122"/>
      <c r="K49" s="114"/>
      <c r="L49" s="10"/>
      <c r="M49" s="114"/>
      <c r="N49" s="114"/>
      <c r="O49" s="121"/>
      <c r="P49" s="7"/>
      <c r="Q49" s="8"/>
      <c r="R49" s="4">
        <f t="shared" si="2"/>
        <v>0</v>
      </c>
    </row>
    <row r="50" spans="1:18" ht="16" thickBot="1" x14ac:dyDescent="0.25">
      <c r="A50" s="125"/>
      <c r="B50" s="126"/>
      <c r="C50" s="16"/>
      <c r="D50" s="127"/>
      <c r="E50" s="127"/>
      <c r="F50" s="126"/>
      <c r="G50" s="128" t="s">
        <v>38</v>
      </c>
      <c r="H50" s="126"/>
      <c r="I50" s="13">
        <f>SUM(I12:I49)</f>
        <v>0</v>
      </c>
      <c r="J50" s="125"/>
      <c r="K50" s="126"/>
      <c r="L50" s="16"/>
      <c r="M50" s="127"/>
      <c r="N50" s="127"/>
      <c r="O50" s="126"/>
      <c r="P50" s="128" t="s">
        <v>38</v>
      </c>
      <c r="Q50" s="126"/>
      <c r="R50" s="13">
        <f>SUM(R12:R49)</f>
        <v>0.2708333333333332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  <vt:lpstr>Sprint 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2023-03-06T23:05:49Z</dcterms:modified>
  <cp:category/>
  <cp:contentStatus/>
</cp:coreProperties>
</file>