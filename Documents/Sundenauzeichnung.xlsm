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C34FCD11-E384-A64B-8012-88FC3783BDD0}" xr6:coauthVersionLast="47" xr6:coauthVersionMax="47" xr10:uidLastSave="{00000000-0000-0000-0000-000000000000}"/>
  <bookViews>
    <workbookView xWindow="0" yWindow="740" windowWidth="30240" windowHeight="18900" activeTab="2" xr2:uid="{00000000-000D-0000-FFFF-FFFF00000000}"/>
  </bookViews>
  <sheets>
    <sheet name="Übersich_DATA" sheetId="7" r:id="rId1"/>
    <sheet name="Sprint_DATA" sheetId="8" r:id="rId2"/>
    <sheet name="Sheet1" sheetId="11" r:id="rId3"/>
    <sheet name="Übersicht" sheetId="2" r:id="rId4"/>
    <sheet name="Funktionen" sheetId="9" r:id="rId5"/>
    <sheet name="Sprint 1" sheetId="3" r:id="rId6"/>
    <sheet name="Sprint 2" sheetId="10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9" i="11" l="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I50" i="11" s="1"/>
  <c r="R13" i="10"/>
  <c r="R14" i="10"/>
  <c r="R50" i="11" l="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<sst xmlns="http://schemas.openxmlformats.org/spreadsheetml/2006/main" count="190" uniqueCount="75">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</sst>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7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83203125" defaultRowHeight="15" x14ac:dyDescent="0.2"/>
  <sheetData>
    <row r="1" spans="1:9" x14ac:dyDescent="0.2">
      <c r="A1" s="54"/>
      <c r="B1" s="55"/>
      <c r="C1" s="55"/>
      <c r="D1" s="55"/>
      <c r="E1" s="55"/>
      <c r="F1" s="55"/>
      <c r="G1" s="55"/>
      <c r="H1" s="55"/>
      <c r="I1" s="56"/>
    </row>
    <row r="2" spans="1:9" ht="16" thickBot="1" x14ac:dyDescent="0.25">
      <c r="A2" s="57"/>
      <c r="B2" s="58"/>
      <c r="C2" s="58"/>
      <c r="D2" s="58"/>
      <c r="E2" s="58"/>
      <c r="F2" s="58"/>
      <c r="G2" s="58"/>
      <c r="H2" s="58"/>
      <c r="I2" s="59"/>
    </row>
    <row r="3" spans="1:9" ht="16" thickBot="1" x14ac:dyDescent="0.25">
      <c r="A3" s="60" t="s">
        <v>45</v>
      </c>
      <c r="B3" s="61"/>
      <c r="C3" s="61"/>
      <c r="D3" s="61"/>
      <c r="E3" s="61"/>
      <c r="F3" s="61"/>
      <c r="G3" s="61"/>
      <c r="H3" s="61"/>
      <c r="I3" s="62"/>
    </row>
    <row r="4" spans="1:9" ht="17" thickTop="1" thickBot="1" x14ac:dyDescent="0.25">
      <c r="A4" s="63">
        <f>D9+D12</f>
        <v>1.566666666666666</v>
      </c>
      <c r="B4" s="64"/>
      <c r="C4" s="64"/>
      <c r="D4" s="64"/>
      <c r="E4" s="64"/>
      <c r="F4" s="64"/>
      <c r="G4" s="64"/>
      <c r="H4" s="64"/>
      <c r="I4" s="65"/>
    </row>
    <row r="5" spans="1:9" ht="16" thickBot="1" x14ac:dyDescent="0.25">
      <c r="A5" s="66"/>
      <c r="B5" s="67"/>
      <c r="C5" s="67"/>
      <c r="D5" s="67"/>
      <c r="E5" s="67"/>
      <c r="F5" s="67"/>
      <c r="G5" s="67"/>
      <c r="H5" s="67"/>
      <c r="I5" s="68"/>
    </row>
    <row r="6" spans="1:9" ht="16" thickBot="1" x14ac:dyDescent="0.25">
      <c r="A6" s="60" t="s">
        <v>1</v>
      </c>
      <c r="B6" s="61"/>
      <c r="C6" s="61"/>
      <c r="D6" s="61"/>
      <c r="E6" s="61"/>
      <c r="F6" s="61"/>
      <c r="G6" s="61"/>
      <c r="H6" s="61"/>
      <c r="I6" s="62"/>
    </row>
    <row r="7" spans="1:9" ht="16" thickTop="1" x14ac:dyDescent="0.2">
      <c r="A7" s="51"/>
      <c r="B7" s="52"/>
      <c r="C7" s="53"/>
      <c r="D7" s="51"/>
      <c r="E7" s="52"/>
      <c r="F7" s="52"/>
      <c r="G7" s="52"/>
      <c r="H7" s="52"/>
      <c r="I7" s="53"/>
    </row>
    <row r="8" spans="1:9" x14ac:dyDescent="0.2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2">
      <c r="A9" s="42" t="s">
        <v>4</v>
      </c>
      <c r="B9" s="43"/>
      <c r="C9" s="44"/>
      <c r="D9" s="45">
        <f>'Sprint 1'!I50</f>
        <v>0.87777777777777743</v>
      </c>
      <c r="E9" s="46"/>
      <c r="F9" s="46"/>
      <c r="G9" s="46"/>
      <c r="H9" s="46"/>
      <c r="I9" s="47"/>
    </row>
    <row r="10" spans="1:9" ht="16" thickBot="1" x14ac:dyDescent="0.2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2">
      <c r="A11" s="23" t="s">
        <v>2</v>
      </c>
      <c r="B11" s="24"/>
      <c r="C11" s="25"/>
      <c r="D11" s="26" t="s">
        <v>5</v>
      </c>
      <c r="E11" s="27"/>
      <c r="F11" s="27"/>
      <c r="G11" s="27"/>
      <c r="H11" s="27"/>
      <c r="I11" s="28"/>
    </row>
    <row r="12" spans="1:9" ht="16" thickBot="1" x14ac:dyDescent="0.25">
      <c r="A12" s="29" t="s">
        <v>4</v>
      </c>
      <c r="B12" s="30"/>
      <c r="C12" s="31"/>
      <c r="D12" s="32">
        <f>'Sprint 1'!R50</f>
        <v>0.68888888888888866</v>
      </c>
      <c r="E12" s="33"/>
      <c r="F12" s="33"/>
      <c r="G12" s="33"/>
      <c r="H12" s="33"/>
      <c r="I12" s="34"/>
    </row>
    <row r="13" spans="1:9" x14ac:dyDescent="0.2">
      <c r="A13" s="35"/>
      <c r="B13" s="35"/>
      <c r="C13" s="35"/>
      <c r="D13" s="35"/>
      <c r="E13" s="35"/>
      <c r="F13" s="35"/>
      <c r="G13" s="35"/>
      <c r="H13" s="35"/>
      <c r="I13" s="35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2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6" thickBot="1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6" thickTop="1" x14ac:dyDescent="0.2">
      <c r="A3" s="115" t="s">
        <v>6</v>
      </c>
      <c r="B3" s="116"/>
      <c r="C3" s="117"/>
      <c r="D3" s="118"/>
      <c r="E3" s="118"/>
      <c r="F3" s="118"/>
      <c r="G3" s="118"/>
      <c r="H3" s="118"/>
      <c r="I3" s="119"/>
      <c r="J3" s="115" t="s">
        <v>6</v>
      </c>
      <c r="K3" s="116"/>
      <c r="L3" s="117"/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2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2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6" thickBot="1" x14ac:dyDescent="0.2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6" thickBot="1" x14ac:dyDescent="0.2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6" thickTop="1" x14ac:dyDescent="0.2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2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2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6" thickBot="1" x14ac:dyDescent="0.2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2">
      <c r="A12" s="84"/>
      <c r="B12" s="85"/>
      <c r="C12" s="14"/>
      <c r="D12" s="86"/>
      <c r="E12" s="86"/>
      <c r="F12" s="87"/>
      <c r="G12" s="2"/>
      <c r="H12" s="3"/>
      <c r="I12" s="4">
        <f>H12-G12</f>
        <v>0</v>
      </c>
      <c r="J12" s="84"/>
      <c r="K12" s="85"/>
      <c r="L12" s="14"/>
      <c r="M12" s="81"/>
      <c r="N12" s="81"/>
      <c r="O12" s="82"/>
      <c r="P12" s="2"/>
      <c r="Q12" s="3"/>
      <c r="R12" s="4">
        <f>Q12-P12</f>
        <v>0</v>
      </c>
    </row>
    <row r="13" spans="1:23" x14ac:dyDescent="0.2">
      <c r="A13" s="80"/>
      <c r="B13" s="74"/>
      <c r="C13" s="7"/>
      <c r="D13" s="81"/>
      <c r="E13" s="81"/>
      <c r="F13" s="82"/>
      <c r="G13" s="5"/>
      <c r="H13" s="6"/>
      <c r="I13" s="4">
        <f>H13-G13</f>
        <v>0</v>
      </c>
      <c r="J13" s="80"/>
      <c r="K13" s="74"/>
      <c r="L13" s="7"/>
      <c r="M13" s="81"/>
      <c r="N13" s="81"/>
      <c r="O13" s="82"/>
      <c r="P13" s="5"/>
      <c r="Q13" s="6"/>
      <c r="R13" s="4">
        <f>Q13-P13</f>
        <v>0</v>
      </c>
    </row>
    <row r="14" spans="1:23" x14ac:dyDescent="0.2">
      <c r="A14" s="80"/>
      <c r="B14" s="74"/>
      <c r="C14" s="7"/>
      <c r="D14" s="81"/>
      <c r="E14" s="81"/>
      <c r="F14" s="82"/>
      <c r="G14" s="5"/>
      <c r="H14" s="6"/>
      <c r="I14" s="4">
        <f t="shared" ref="I14:I49" si="0">H14-G14</f>
        <v>0</v>
      </c>
      <c r="J14" s="80"/>
      <c r="K14" s="74"/>
      <c r="L14" s="17"/>
      <c r="M14" s="81"/>
      <c r="N14" s="81"/>
      <c r="O14" s="82"/>
      <c r="P14" s="5"/>
      <c r="Q14" s="6"/>
      <c r="R14" s="4">
        <f t="shared" ref="R14:R40" si="1">Q14-P14</f>
        <v>0</v>
      </c>
    </row>
    <row r="15" spans="1:23" x14ac:dyDescent="0.2">
      <c r="A15" s="80"/>
      <c r="B15" s="74"/>
      <c r="C15" s="7"/>
      <c r="D15" s="81"/>
      <c r="E15" s="81"/>
      <c r="F15" s="82"/>
      <c r="G15" s="5"/>
      <c r="H15" s="6"/>
      <c r="I15" s="4">
        <f t="shared" si="0"/>
        <v>0</v>
      </c>
      <c r="J15" s="80"/>
      <c r="K15" s="74"/>
      <c r="L15" s="7"/>
      <c r="M15" s="81"/>
      <c r="N15" s="81"/>
      <c r="O15" s="82"/>
      <c r="P15" s="5"/>
      <c r="Q15" s="6"/>
      <c r="R15" s="4">
        <f t="shared" si="1"/>
        <v>0</v>
      </c>
    </row>
    <row r="16" spans="1:23" x14ac:dyDescent="0.2">
      <c r="A16" s="80"/>
      <c r="B16" s="74"/>
      <c r="C16" s="7"/>
      <c r="D16" s="81"/>
      <c r="E16" s="81"/>
      <c r="F16" s="82"/>
      <c r="G16" s="5"/>
      <c r="H16" s="6"/>
      <c r="I16" s="4">
        <f t="shared" si="0"/>
        <v>0</v>
      </c>
      <c r="J16" s="80"/>
      <c r="K16" s="83"/>
      <c r="L16" s="7"/>
      <c r="M16" s="81"/>
      <c r="N16" s="81"/>
      <c r="O16" s="82"/>
      <c r="P16" s="5"/>
      <c r="Q16" s="6"/>
      <c r="R16" s="4">
        <f>Q16-P16</f>
        <v>0</v>
      </c>
    </row>
    <row r="17" spans="1:18" x14ac:dyDescent="0.2">
      <c r="A17" s="80"/>
      <c r="B17" s="74"/>
      <c r="C17" s="7"/>
      <c r="D17" s="81"/>
      <c r="E17" s="81"/>
      <c r="F17" s="82"/>
      <c r="G17" s="5"/>
      <c r="H17" s="6"/>
      <c r="I17" s="4">
        <f t="shared" si="0"/>
        <v>0</v>
      </c>
      <c r="J17" s="80"/>
      <c r="K17" s="74"/>
      <c r="L17" s="7"/>
      <c r="M17" s="81"/>
      <c r="N17" s="81"/>
      <c r="O17" s="82"/>
      <c r="P17" s="5"/>
      <c r="Q17" s="6"/>
      <c r="R17" s="4">
        <f t="shared" si="1"/>
        <v>0</v>
      </c>
    </row>
    <row r="18" spans="1:18" x14ac:dyDescent="0.2">
      <c r="A18" s="80"/>
      <c r="B18" s="74"/>
      <c r="C18" s="7"/>
      <c r="D18" s="81"/>
      <c r="E18" s="81"/>
      <c r="F18" s="82"/>
      <c r="G18" s="5"/>
      <c r="H18" s="6"/>
      <c r="I18" s="4">
        <f t="shared" si="0"/>
        <v>0</v>
      </c>
      <c r="J18" s="80"/>
      <c r="K18" s="74"/>
      <c r="L18" s="7"/>
      <c r="M18" s="81"/>
      <c r="N18" s="81"/>
      <c r="O18" s="82"/>
      <c r="P18" s="5"/>
      <c r="Q18" s="6"/>
      <c r="R18" s="4">
        <f t="shared" si="1"/>
        <v>0</v>
      </c>
    </row>
    <row r="19" spans="1:18" x14ac:dyDescent="0.2">
      <c r="A19" s="80"/>
      <c r="B19" s="74"/>
      <c r="C19" s="7"/>
      <c r="D19" s="81"/>
      <c r="E19" s="81"/>
      <c r="F19" s="82"/>
      <c r="G19" s="5"/>
      <c r="H19" s="6"/>
      <c r="I19" s="4">
        <f t="shared" si="0"/>
        <v>0</v>
      </c>
      <c r="J19" s="80"/>
      <c r="K19" s="74"/>
      <c r="L19" s="7"/>
      <c r="M19" s="81"/>
      <c r="N19" s="81"/>
      <c r="O19" s="82"/>
      <c r="P19" s="5"/>
      <c r="Q19" s="6"/>
      <c r="R19" s="4">
        <f>Q19-P19</f>
        <v>0</v>
      </c>
    </row>
    <row r="20" spans="1:18" x14ac:dyDescent="0.2">
      <c r="A20" s="80"/>
      <c r="B20" s="74"/>
      <c r="C20" s="7"/>
      <c r="D20" s="81"/>
      <c r="E20" s="81"/>
      <c r="F20" s="82"/>
      <c r="G20" s="5"/>
      <c r="H20" s="6"/>
      <c r="I20" s="4">
        <f t="shared" si="0"/>
        <v>0</v>
      </c>
      <c r="J20" s="80"/>
      <c r="K20" s="74"/>
      <c r="L20" s="7"/>
      <c r="M20" s="81"/>
      <c r="N20" s="81"/>
      <c r="O20" s="82"/>
      <c r="P20" s="5"/>
      <c r="Q20" s="6"/>
      <c r="R20" s="4">
        <f t="shared" si="1"/>
        <v>0</v>
      </c>
    </row>
    <row r="21" spans="1:18" x14ac:dyDescent="0.2">
      <c r="A21" s="80"/>
      <c r="B21" s="74"/>
      <c r="C21" s="7"/>
      <c r="D21" s="81"/>
      <c r="E21" s="81"/>
      <c r="F21" s="82"/>
      <c r="G21" s="5"/>
      <c r="H21" s="6"/>
      <c r="I21" s="4">
        <f t="shared" si="0"/>
        <v>0</v>
      </c>
      <c r="J21" s="80"/>
      <c r="K21" s="74"/>
      <c r="L21" s="7"/>
      <c r="M21" s="74"/>
      <c r="N21" s="74"/>
      <c r="O21" s="75"/>
      <c r="P21" s="5"/>
      <c r="Q21" s="6"/>
      <c r="R21" s="4">
        <f t="shared" si="1"/>
        <v>0</v>
      </c>
    </row>
    <row r="22" spans="1:18" x14ac:dyDescent="0.2">
      <c r="A22" s="80"/>
      <c r="B22" s="74"/>
      <c r="C22" s="7"/>
      <c r="D22" s="74"/>
      <c r="E22" s="74"/>
      <c r="F22" s="75"/>
      <c r="G22" s="5"/>
      <c r="H22" s="6"/>
      <c r="I22" s="4">
        <f t="shared" si="0"/>
        <v>0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2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2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2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2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2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73"/>
      <c r="K27" s="74"/>
      <c r="L27" s="7"/>
      <c r="M27" s="74"/>
      <c r="N27" s="74"/>
      <c r="O27" s="75"/>
      <c r="P27" s="7"/>
      <c r="Q27" s="8"/>
      <c r="R27" s="4">
        <f t="shared" si="1"/>
        <v>0</v>
      </c>
    </row>
    <row r="28" spans="1:18" x14ac:dyDescent="0.2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2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2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2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2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2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2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2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2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2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2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2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2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2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8"/>
      <c r="K41" s="79"/>
      <c r="L41" s="7"/>
      <c r="M41" s="74"/>
      <c r="N41" s="74"/>
      <c r="O41" s="75"/>
      <c r="P41" s="9"/>
      <c r="Q41" s="1"/>
      <c r="R41" s="4">
        <f>Q41-P41</f>
        <v>0</v>
      </c>
    </row>
    <row r="42" spans="1:18" x14ac:dyDescent="0.2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3"/>
      <c r="K42" s="74"/>
      <c r="L42" s="7"/>
      <c r="M42" s="74"/>
      <c r="N42" s="74"/>
      <c r="O42" s="75"/>
      <c r="P42" s="7"/>
      <c r="Q42" s="8"/>
      <c r="R42" s="4">
        <f t="shared" ref="R42:R49" si="2">Q42-P42</f>
        <v>0</v>
      </c>
    </row>
    <row r="43" spans="1:18" x14ac:dyDescent="0.2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si="2"/>
        <v>0</v>
      </c>
    </row>
    <row r="44" spans="1:18" x14ac:dyDescent="0.2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2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2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2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2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6" thickBot="1" x14ac:dyDescent="0.2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10"/>
      <c r="M49" s="74"/>
      <c r="N49" s="74"/>
      <c r="O49" s="75"/>
      <c r="P49" s="7"/>
      <c r="Q49" s="8"/>
      <c r="R49" s="4">
        <f t="shared" si="2"/>
        <v>0</v>
      </c>
    </row>
    <row r="50" spans="1:18" ht="16" thickBot="1" x14ac:dyDescent="0.2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tabSelected="1" workbookViewId="0">
      <selection activeCell="M22" sqref="M22:O22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2" t="s">
        <v>71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6" thickBot="1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6" thickTop="1" x14ac:dyDescent="0.2">
      <c r="A3" s="115" t="s">
        <v>6</v>
      </c>
      <c r="B3" s="116"/>
      <c r="C3" s="117"/>
      <c r="D3" s="118"/>
      <c r="E3" s="118"/>
      <c r="F3" s="118"/>
      <c r="G3" s="118"/>
      <c r="H3" s="118"/>
      <c r="I3" s="119"/>
      <c r="J3" s="115" t="s">
        <v>6</v>
      </c>
      <c r="K3" s="116"/>
      <c r="L3" s="117"/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2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2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6" thickBot="1" x14ac:dyDescent="0.2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6" thickBot="1" x14ac:dyDescent="0.2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6" thickTop="1" x14ac:dyDescent="0.2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2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2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6" thickBot="1" x14ac:dyDescent="0.2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2">
      <c r="A12" s="84"/>
      <c r="B12" s="85"/>
      <c r="C12" s="14"/>
      <c r="D12" s="86"/>
      <c r="E12" s="86"/>
      <c r="F12" s="87"/>
      <c r="G12" s="2"/>
      <c r="H12" s="3"/>
      <c r="I12" s="4">
        <f>H12-G12</f>
        <v>0</v>
      </c>
      <c r="J12" s="84">
        <v>44902</v>
      </c>
      <c r="K12" s="85"/>
      <c r="L12" s="14"/>
      <c r="M12" s="81" t="s">
        <v>72</v>
      </c>
      <c r="N12" s="81"/>
      <c r="O12" s="82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80"/>
      <c r="B13" s="74"/>
      <c r="C13" s="7"/>
      <c r="D13" s="81"/>
      <c r="E13" s="81"/>
      <c r="F13" s="82"/>
      <c r="G13" s="5"/>
      <c r="H13" s="6"/>
      <c r="I13" s="4">
        <f>H13-G13</f>
        <v>0</v>
      </c>
      <c r="J13" s="80">
        <v>44903</v>
      </c>
      <c r="K13" s="74"/>
      <c r="L13" s="7"/>
      <c r="M13" s="81" t="s">
        <v>73</v>
      </c>
      <c r="N13" s="81"/>
      <c r="O13" s="82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80"/>
      <c r="B14" s="74"/>
      <c r="C14" s="7"/>
      <c r="D14" s="81"/>
      <c r="E14" s="81"/>
      <c r="F14" s="82"/>
      <c r="G14" s="5"/>
      <c r="H14" s="6"/>
      <c r="I14" s="4">
        <f t="shared" ref="I14:I49" si="0">H14-G14</f>
        <v>0</v>
      </c>
      <c r="J14" s="80">
        <v>44903</v>
      </c>
      <c r="K14" s="74"/>
      <c r="L14" s="17"/>
      <c r="M14" s="81" t="s">
        <v>74</v>
      </c>
      <c r="N14" s="81"/>
      <c r="O14" s="82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80"/>
      <c r="B15" s="74"/>
      <c r="C15" s="7"/>
      <c r="D15" s="81"/>
      <c r="E15" s="81"/>
      <c r="F15" s="82"/>
      <c r="G15" s="5"/>
      <c r="H15" s="6"/>
      <c r="I15" s="4">
        <f t="shared" si="0"/>
        <v>0</v>
      </c>
      <c r="J15" s="80"/>
      <c r="K15" s="74"/>
      <c r="L15" s="7"/>
      <c r="M15" s="81"/>
      <c r="N15" s="81"/>
      <c r="O15" s="82"/>
      <c r="P15" s="5"/>
      <c r="Q15" s="6"/>
      <c r="R15" s="4">
        <f t="shared" si="1"/>
        <v>0</v>
      </c>
    </row>
    <row r="16" spans="1:23" x14ac:dyDescent="0.2">
      <c r="A16" s="80"/>
      <c r="B16" s="74"/>
      <c r="C16" s="7"/>
      <c r="D16" s="81"/>
      <c r="E16" s="81"/>
      <c r="F16" s="82"/>
      <c r="G16" s="5"/>
      <c r="H16" s="6"/>
      <c r="I16" s="4">
        <f t="shared" si="0"/>
        <v>0</v>
      </c>
      <c r="J16" s="80"/>
      <c r="K16" s="83"/>
      <c r="L16" s="7"/>
      <c r="M16" s="81"/>
      <c r="N16" s="81"/>
      <c r="O16" s="82"/>
      <c r="P16" s="5"/>
      <c r="Q16" s="6"/>
      <c r="R16" s="4">
        <f>Q16-P16</f>
        <v>0</v>
      </c>
    </row>
    <row r="17" spans="1:18" x14ac:dyDescent="0.2">
      <c r="A17" s="80"/>
      <c r="B17" s="74"/>
      <c r="C17" s="7"/>
      <c r="D17" s="81"/>
      <c r="E17" s="81"/>
      <c r="F17" s="82"/>
      <c r="G17" s="5"/>
      <c r="H17" s="6"/>
      <c r="I17" s="4">
        <f t="shared" si="0"/>
        <v>0</v>
      </c>
      <c r="J17" s="80"/>
      <c r="K17" s="74"/>
      <c r="L17" s="7"/>
      <c r="M17" s="81"/>
      <c r="N17" s="81"/>
      <c r="O17" s="82"/>
      <c r="P17" s="5"/>
      <c r="Q17" s="6"/>
      <c r="R17" s="4">
        <f t="shared" si="1"/>
        <v>0</v>
      </c>
    </row>
    <row r="18" spans="1:18" x14ac:dyDescent="0.2">
      <c r="A18" s="80"/>
      <c r="B18" s="74"/>
      <c r="C18" s="7"/>
      <c r="D18" s="81"/>
      <c r="E18" s="81"/>
      <c r="F18" s="82"/>
      <c r="G18" s="5"/>
      <c r="H18" s="6"/>
      <c r="I18" s="4">
        <f t="shared" si="0"/>
        <v>0</v>
      </c>
      <c r="J18" s="80"/>
      <c r="K18" s="74"/>
      <c r="L18" s="7"/>
      <c r="M18" s="81"/>
      <c r="N18" s="81"/>
      <c r="O18" s="82"/>
      <c r="P18" s="5"/>
      <c r="Q18" s="6"/>
      <c r="R18" s="4">
        <f t="shared" si="1"/>
        <v>0</v>
      </c>
    </row>
    <row r="19" spans="1:18" x14ac:dyDescent="0.2">
      <c r="A19" s="80"/>
      <c r="B19" s="74"/>
      <c r="C19" s="7"/>
      <c r="D19" s="81"/>
      <c r="E19" s="81"/>
      <c r="F19" s="82"/>
      <c r="G19" s="5"/>
      <c r="H19" s="6"/>
      <c r="I19" s="4">
        <f t="shared" si="0"/>
        <v>0</v>
      </c>
      <c r="J19" s="80"/>
      <c r="K19" s="74"/>
      <c r="L19" s="7"/>
      <c r="M19" s="81"/>
      <c r="N19" s="81"/>
      <c r="O19" s="82"/>
      <c r="P19" s="5"/>
      <c r="Q19" s="6"/>
      <c r="R19" s="4">
        <f>Q19-P19</f>
        <v>0</v>
      </c>
    </row>
    <row r="20" spans="1:18" x14ac:dyDescent="0.2">
      <c r="A20" s="80"/>
      <c r="B20" s="74"/>
      <c r="C20" s="7"/>
      <c r="D20" s="81"/>
      <c r="E20" s="81"/>
      <c r="F20" s="82"/>
      <c r="G20" s="5"/>
      <c r="H20" s="6"/>
      <c r="I20" s="4">
        <f t="shared" si="0"/>
        <v>0</v>
      </c>
      <c r="J20" s="80"/>
      <c r="K20" s="74"/>
      <c r="L20" s="7"/>
      <c r="M20" s="81"/>
      <c r="N20" s="81"/>
      <c r="O20" s="82"/>
      <c r="P20" s="5"/>
      <c r="Q20" s="6"/>
      <c r="R20" s="4">
        <f t="shared" si="1"/>
        <v>0</v>
      </c>
    </row>
    <row r="21" spans="1:18" x14ac:dyDescent="0.2">
      <c r="A21" s="80"/>
      <c r="B21" s="74"/>
      <c r="C21" s="7"/>
      <c r="D21" s="81"/>
      <c r="E21" s="81"/>
      <c r="F21" s="82"/>
      <c r="G21" s="5"/>
      <c r="H21" s="6"/>
      <c r="I21" s="4">
        <f t="shared" si="0"/>
        <v>0</v>
      </c>
      <c r="J21" s="80"/>
      <c r="K21" s="74"/>
      <c r="L21" s="7"/>
      <c r="M21" s="74"/>
      <c r="N21" s="74"/>
      <c r="O21" s="75"/>
      <c r="P21" s="5"/>
      <c r="Q21" s="6"/>
      <c r="R21" s="4">
        <f t="shared" si="1"/>
        <v>0</v>
      </c>
    </row>
    <row r="22" spans="1:18" x14ac:dyDescent="0.2">
      <c r="A22" s="80"/>
      <c r="B22" s="74"/>
      <c r="C22" s="7"/>
      <c r="D22" s="74"/>
      <c r="E22" s="74"/>
      <c r="F22" s="75"/>
      <c r="G22" s="5"/>
      <c r="H22" s="6"/>
      <c r="I22" s="4">
        <f t="shared" si="0"/>
        <v>0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2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2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2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2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2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73"/>
      <c r="K27" s="74"/>
      <c r="L27" s="7"/>
      <c r="M27" s="74"/>
      <c r="N27" s="74"/>
      <c r="O27" s="75"/>
      <c r="P27" s="7"/>
      <c r="Q27" s="8"/>
      <c r="R27" s="4">
        <f t="shared" si="1"/>
        <v>0</v>
      </c>
    </row>
    <row r="28" spans="1:18" x14ac:dyDescent="0.2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2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2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2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2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2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2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2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2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2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2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2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2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2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8"/>
      <c r="K41" s="79"/>
      <c r="L41" s="7"/>
      <c r="M41" s="74"/>
      <c r="N41" s="74"/>
      <c r="O41" s="75"/>
      <c r="P41" s="9"/>
      <c r="Q41" s="1"/>
      <c r="R41" s="4">
        <f>Q41-P41</f>
        <v>0</v>
      </c>
    </row>
    <row r="42" spans="1:18" x14ac:dyDescent="0.2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3"/>
      <c r="K42" s="74"/>
      <c r="L42" s="7"/>
      <c r="M42" s="74"/>
      <c r="N42" s="74"/>
      <c r="O42" s="75"/>
      <c r="P42" s="7"/>
      <c r="Q42" s="8"/>
      <c r="R42" s="4">
        <f t="shared" ref="R42:R49" si="2">Q42-P42</f>
        <v>0</v>
      </c>
    </row>
    <row r="43" spans="1:18" x14ac:dyDescent="0.2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si="2"/>
        <v>0</v>
      </c>
    </row>
    <row r="44" spans="1:18" x14ac:dyDescent="0.2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2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2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2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2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6" thickBot="1" x14ac:dyDescent="0.2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10"/>
      <c r="M49" s="74"/>
      <c r="N49" s="74"/>
      <c r="O49" s="75"/>
      <c r="P49" s="7"/>
      <c r="Q49" s="8"/>
      <c r="R49" s="4">
        <f t="shared" si="2"/>
        <v>0</v>
      </c>
    </row>
    <row r="50" spans="1:18" ht="16" thickBot="1" x14ac:dyDescent="0.2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0.25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10"/>
  <sheetViews>
    <sheetView zoomScale="115" zoomScaleNormal="115" workbookViewId="0">
      <selection activeCell="L8" sqref="L8"/>
    </sheetView>
  </sheetViews>
  <sheetFormatPr baseColWidth="10" defaultColWidth="8.83203125" defaultRowHeight="15" x14ac:dyDescent="0.2"/>
  <sheetData>
    <row r="1" spans="1:9" ht="14.5" customHeight="1" x14ac:dyDescent="0.2">
      <c r="A1" s="54" t="s">
        <v>0</v>
      </c>
      <c r="B1" s="55"/>
      <c r="C1" s="55"/>
      <c r="D1" s="55"/>
      <c r="E1" s="55"/>
      <c r="F1" s="55"/>
      <c r="G1" s="55"/>
      <c r="H1" s="55"/>
      <c r="I1" s="56"/>
    </row>
    <row r="2" spans="1:9" ht="15" customHeight="1" thickBot="1" x14ac:dyDescent="0.25">
      <c r="A2" s="57"/>
      <c r="B2" s="58"/>
      <c r="C2" s="58"/>
      <c r="D2" s="58"/>
      <c r="E2" s="58"/>
      <c r="F2" s="58"/>
      <c r="G2" s="58"/>
      <c r="H2" s="58"/>
      <c r="I2" s="59"/>
    </row>
    <row r="3" spans="1:9" ht="16" thickBot="1" x14ac:dyDescent="0.25">
      <c r="A3" s="60" t="s">
        <v>45</v>
      </c>
      <c r="B3" s="61"/>
      <c r="C3" s="61"/>
      <c r="D3" s="61"/>
      <c r="E3" s="61"/>
      <c r="F3" s="61"/>
      <c r="G3" s="61"/>
      <c r="H3" s="61"/>
      <c r="I3" s="62"/>
    </row>
    <row r="4" spans="1:9" ht="17" thickTop="1" thickBot="1" x14ac:dyDescent="0.25">
      <c r="A4" s="63">
        <f>D9+D12</f>
        <v>1.566666666666666</v>
      </c>
      <c r="B4" s="64"/>
      <c r="C4" s="64"/>
      <c r="D4" s="64"/>
      <c r="E4" s="64"/>
      <c r="F4" s="64"/>
      <c r="G4" s="64"/>
      <c r="H4" s="64"/>
      <c r="I4" s="65"/>
    </row>
    <row r="5" spans="1:9" ht="16" thickBot="1" x14ac:dyDescent="0.25">
      <c r="A5" s="66"/>
      <c r="B5" s="67"/>
      <c r="C5" s="67"/>
      <c r="D5" s="67"/>
      <c r="E5" s="67"/>
      <c r="F5" s="67"/>
      <c r="G5" s="67"/>
      <c r="H5" s="67"/>
      <c r="I5" s="68"/>
    </row>
    <row r="6" spans="1:9" ht="16" thickBot="1" x14ac:dyDescent="0.25">
      <c r="A6" s="60" t="s">
        <v>1</v>
      </c>
      <c r="B6" s="61"/>
      <c r="C6" s="61"/>
      <c r="D6" s="61"/>
      <c r="E6" s="61"/>
      <c r="F6" s="61"/>
      <c r="G6" s="61"/>
      <c r="H6" s="61"/>
      <c r="I6" s="62"/>
    </row>
    <row r="7" spans="1:9" ht="16" thickTop="1" x14ac:dyDescent="0.2">
      <c r="A7" s="51"/>
      <c r="B7" s="52"/>
      <c r="C7" s="53"/>
      <c r="D7" s="51"/>
      <c r="E7" s="52"/>
      <c r="F7" s="52"/>
      <c r="G7" s="52"/>
      <c r="H7" s="52"/>
      <c r="I7" s="53"/>
    </row>
    <row r="8" spans="1:9" x14ac:dyDescent="0.2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2">
      <c r="A9" s="42" t="s">
        <v>4</v>
      </c>
      <c r="B9" s="43"/>
      <c r="C9" s="44"/>
      <c r="D9" s="45">
        <v>0.87777777777777743</v>
      </c>
      <c r="E9" s="46"/>
      <c r="F9" s="46"/>
      <c r="G9" s="46"/>
      <c r="H9" s="46"/>
      <c r="I9" s="47"/>
    </row>
    <row r="10" spans="1:9" ht="16" thickBot="1" x14ac:dyDescent="0.2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2">
      <c r="A11" s="23" t="s">
        <v>2</v>
      </c>
      <c r="B11" s="24"/>
      <c r="C11" s="25"/>
      <c r="D11" s="26" t="s">
        <v>5</v>
      </c>
      <c r="E11" s="27"/>
      <c r="F11" s="27"/>
      <c r="G11" s="27"/>
      <c r="H11" s="27"/>
      <c r="I11" s="28"/>
    </row>
    <row r="12" spans="1:9" ht="16" thickBot="1" x14ac:dyDescent="0.25">
      <c r="A12" s="29" t="s">
        <v>4</v>
      </c>
      <c r="B12" s="30"/>
      <c r="C12" s="31"/>
      <c r="D12" s="32">
        <v>0.68888888888888866</v>
      </c>
      <c r="E12" s="33"/>
      <c r="F12" s="33"/>
      <c r="G12" s="33"/>
      <c r="H12" s="33"/>
      <c r="I12" s="34"/>
    </row>
    <row r="13" spans="1:9" x14ac:dyDescent="0.2">
      <c r="A13" s="35"/>
      <c r="B13" s="35"/>
      <c r="C13" s="35"/>
      <c r="D13" s="35"/>
      <c r="E13" s="35"/>
      <c r="F13" s="35"/>
      <c r="G13" s="35"/>
      <c r="H13" s="35"/>
      <c r="I13" s="35"/>
    </row>
    <row r="14" spans="1:9" ht="15" customHeight="1" x14ac:dyDescent="0.2"/>
    <row r="15" spans="1:9" ht="15.75" customHeight="1" x14ac:dyDescent="0.2"/>
    <row r="27" ht="15" customHeight="1" x14ac:dyDescent="0.2"/>
    <row r="28" ht="15.75" customHeight="1" x14ac:dyDescent="0.2"/>
    <row r="40" ht="14.5" customHeight="1" x14ac:dyDescent="0.2"/>
    <row r="41" ht="15" customHeight="1" x14ac:dyDescent="0.2"/>
    <row r="53" ht="14.5" customHeight="1" x14ac:dyDescent="0.2"/>
    <row r="54" ht="15" customHeight="1" x14ac:dyDescent="0.2"/>
    <row r="66" ht="14.5" customHeight="1" x14ac:dyDescent="0.2"/>
    <row r="67" ht="15" customHeight="1" x14ac:dyDescent="0.2"/>
    <row r="79" ht="14.5" customHeight="1" x14ac:dyDescent="0.2"/>
    <row r="80" ht="15" customHeight="1" x14ac:dyDescent="0.2"/>
    <row r="92" ht="14.5" customHeight="1" x14ac:dyDescent="0.2"/>
    <row r="93" ht="15" customHeight="1" x14ac:dyDescent="0.2"/>
    <row r="105" ht="14.5" customHeight="1" x14ac:dyDescent="0.2"/>
    <row r="106" ht="1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83" ht="14.5" customHeight="1" x14ac:dyDescent="0.2"/>
    <row r="184" ht="15" customHeight="1" x14ac:dyDescent="0.2"/>
    <row r="196" ht="14.5" customHeight="1" x14ac:dyDescent="0.2"/>
    <row r="197" ht="15" customHeight="1" x14ac:dyDescent="0.2"/>
    <row r="209" ht="14.5" customHeight="1" x14ac:dyDescent="0.2"/>
    <row r="210" ht="15" customHeight="1" x14ac:dyDescent="0.2"/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112" t="s">
        <v>46</v>
      </c>
      <c r="B1" s="112"/>
      <c r="C1" s="112"/>
      <c r="D1" s="112"/>
      <c r="E1" s="112"/>
      <c r="F1" s="112"/>
      <c r="G1" s="112"/>
      <c r="H1" s="112"/>
      <c r="I1" s="112"/>
    </row>
    <row r="2" spans="1:9" x14ac:dyDescent="0.2">
      <c r="A2" s="112"/>
      <c r="B2" s="112"/>
      <c r="C2" s="112"/>
      <c r="D2" s="112"/>
      <c r="E2" s="112"/>
      <c r="F2" s="112"/>
      <c r="G2" s="112"/>
      <c r="H2" s="112"/>
      <c r="I2" s="112"/>
    </row>
    <row r="3" spans="1:9" x14ac:dyDescent="0.2">
      <c r="A3" s="113"/>
      <c r="B3" s="113"/>
      <c r="C3" s="113"/>
      <c r="D3" s="113"/>
      <c r="E3" s="113"/>
      <c r="F3" s="113"/>
      <c r="G3" s="113"/>
      <c r="H3" s="113"/>
      <c r="I3" s="113"/>
    </row>
    <row r="4" spans="1:9" x14ac:dyDescent="0.2">
      <c r="A4" s="113"/>
      <c r="B4" s="113"/>
      <c r="C4" s="113"/>
      <c r="D4" s="113"/>
      <c r="E4" s="113"/>
      <c r="F4" s="113"/>
      <c r="G4" s="113"/>
      <c r="H4" s="113"/>
      <c r="I4" s="113"/>
    </row>
    <row r="5" spans="1:9" x14ac:dyDescent="0.2">
      <c r="A5" s="113"/>
      <c r="B5" s="113"/>
      <c r="C5" s="113"/>
      <c r="D5" s="113"/>
      <c r="E5" s="113"/>
      <c r="F5" s="113"/>
      <c r="G5" s="113"/>
      <c r="H5" s="113"/>
      <c r="I5" s="113"/>
    </row>
    <row r="6" spans="1:9" x14ac:dyDescent="0.2">
      <c r="A6" s="113"/>
      <c r="B6" s="113"/>
      <c r="C6" s="113"/>
      <c r="D6" s="113"/>
      <c r="E6" s="113"/>
      <c r="F6" s="113"/>
      <c r="G6" s="113"/>
      <c r="H6" s="113"/>
      <c r="I6" s="113"/>
    </row>
    <row r="7" spans="1:9" x14ac:dyDescent="0.2">
      <c r="A7" s="113"/>
      <c r="B7" s="113"/>
      <c r="C7" s="113"/>
      <c r="D7" s="113"/>
      <c r="E7" s="113"/>
      <c r="F7" s="113"/>
      <c r="G7" s="113"/>
      <c r="H7" s="113"/>
      <c r="I7" s="113"/>
    </row>
    <row r="8" spans="1:9" x14ac:dyDescent="0.2">
      <c r="A8" s="113"/>
      <c r="B8" s="113"/>
      <c r="C8" s="113"/>
      <c r="D8" s="113"/>
      <c r="E8" s="113"/>
      <c r="F8" s="113"/>
      <c r="G8" s="113"/>
      <c r="H8" s="113"/>
      <c r="I8" s="113"/>
    </row>
    <row r="9" spans="1:9" x14ac:dyDescent="0.2">
      <c r="A9" s="113"/>
      <c r="B9" s="113"/>
      <c r="C9" s="113"/>
      <c r="D9" s="113"/>
      <c r="E9" s="113"/>
      <c r="F9" s="113"/>
      <c r="G9" s="113"/>
      <c r="H9" s="113"/>
      <c r="I9" s="113"/>
    </row>
    <row r="10" spans="1:9" x14ac:dyDescent="0.2">
      <c r="A10" s="113"/>
      <c r="B10" s="113"/>
      <c r="C10" s="113"/>
      <c r="D10" s="113"/>
      <c r="E10" s="113"/>
      <c r="F10" s="113"/>
      <c r="G10" s="113"/>
      <c r="H10" s="113"/>
      <c r="I10" s="113"/>
    </row>
    <row r="11" spans="1:9" x14ac:dyDescent="0.2">
      <c r="A11" s="113"/>
      <c r="B11" s="113"/>
      <c r="C11" s="113"/>
      <c r="D11" s="113"/>
      <c r="E11" s="113"/>
      <c r="F11" s="113"/>
      <c r="G11" s="113"/>
      <c r="H11" s="113"/>
      <c r="I11" s="113"/>
    </row>
    <row r="12" spans="1:9" x14ac:dyDescent="0.2">
      <c r="A12" s="113"/>
      <c r="B12" s="113"/>
      <c r="C12" s="113"/>
      <c r="D12" s="113"/>
      <c r="E12" s="113"/>
      <c r="F12" s="113"/>
      <c r="G12" s="113"/>
      <c r="H12" s="113"/>
      <c r="I12" s="113"/>
    </row>
    <row r="13" spans="1:9" x14ac:dyDescent="0.2">
      <c r="A13" s="113"/>
      <c r="B13" s="113"/>
      <c r="C13" s="113"/>
      <c r="D13" s="113"/>
      <c r="E13" s="113"/>
      <c r="F13" s="113"/>
      <c r="G13" s="113"/>
      <c r="H13" s="113"/>
      <c r="I13" s="113"/>
    </row>
    <row r="14" spans="1:9" x14ac:dyDescent="0.2">
      <c r="A14" s="113"/>
      <c r="B14" s="113"/>
      <c r="C14" s="113"/>
      <c r="D14" s="113"/>
      <c r="E14" s="113"/>
      <c r="F14" s="113"/>
      <c r="G14" s="113"/>
      <c r="H14" s="113"/>
      <c r="I14" s="113"/>
    </row>
    <row r="15" spans="1:9" x14ac:dyDescent="0.2">
      <c r="A15" s="113"/>
      <c r="B15" s="113"/>
      <c r="C15" s="113"/>
      <c r="D15" s="113"/>
      <c r="E15" s="113"/>
      <c r="F15" s="113"/>
      <c r="G15" s="113"/>
      <c r="H15" s="113"/>
      <c r="I15" s="113"/>
    </row>
    <row r="16" spans="1:9" x14ac:dyDescent="0.2">
      <c r="A16" s="113"/>
      <c r="B16" s="113"/>
      <c r="C16" s="113"/>
      <c r="D16" s="113"/>
      <c r="E16" s="113"/>
      <c r="F16" s="113"/>
      <c r="G16" s="113"/>
      <c r="H16" s="113"/>
      <c r="I16" s="113"/>
    </row>
    <row r="17" spans="1:9" x14ac:dyDescent="0.2">
      <c r="A17" s="113"/>
      <c r="B17" s="113"/>
      <c r="C17" s="113"/>
      <c r="D17" s="113"/>
      <c r="E17" s="113"/>
      <c r="F17" s="113"/>
      <c r="G17" s="113"/>
      <c r="H17" s="113"/>
      <c r="I17" s="113"/>
    </row>
    <row r="18" spans="1:9" x14ac:dyDescent="0.2">
      <c r="A18" s="113"/>
      <c r="B18" s="113"/>
      <c r="C18" s="113"/>
      <c r="D18" s="113"/>
      <c r="E18" s="113"/>
      <c r="F18" s="113"/>
      <c r="G18" s="113"/>
      <c r="H18" s="113"/>
      <c r="I18" s="113"/>
    </row>
    <row r="19" spans="1:9" x14ac:dyDescent="0.2">
      <c r="A19" s="113"/>
      <c r="B19" s="113"/>
      <c r="C19" s="113"/>
      <c r="D19" s="113"/>
      <c r="E19" s="113"/>
      <c r="F19" s="113"/>
      <c r="G19" s="113"/>
      <c r="H19" s="113"/>
      <c r="I19" s="113"/>
    </row>
    <row r="20" spans="1:9" x14ac:dyDescent="0.2">
      <c r="A20" s="113"/>
      <c r="B20" s="113"/>
      <c r="C20" s="113"/>
      <c r="D20" s="113"/>
      <c r="E20" s="113"/>
      <c r="F20" s="113"/>
      <c r="G20" s="113"/>
      <c r="H20" s="113"/>
      <c r="I20" s="113"/>
    </row>
    <row r="21" spans="1:9" x14ac:dyDescent="0.2">
      <c r="A21" s="113"/>
      <c r="B21" s="113"/>
      <c r="C21" s="113"/>
      <c r="D21" s="113"/>
      <c r="E21" s="113"/>
      <c r="F21" s="113"/>
      <c r="G21" s="113"/>
      <c r="H21" s="113"/>
      <c r="I21" s="113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6" thickBot="1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6" thickTop="1" x14ac:dyDescent="0.2">
      <c r="A3" s="115" t="s">
        <v>6</v>
      </c>
      <c r="B3" s="116"/>
      <c r="C3" s="117" t="s">
        <v>42</v>
      </c>
      <c r="D3" s="118"/>
      <c r="E3" s="118"/>
      <c r="F3" s="118"/>
      <c r="G3" s="118"/>
      <c r="H3" s="118"/>
      <c r="I3" s="119"/>
      <c r="J3" s="115" t="s">
        <v>6</v>
      </c>
      <c r="K3" s="116"/>
      <c r="L3" s="117" t="s">
        <v>41</v>
      </c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2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2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6" thickBot="1" x14ac:dyDescent="0.2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6" thickBot="1" x14ac:dyDescent="0.2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6" thickTop="1" x14ac:dyDescent="0.2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2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2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6" thickBot="1" x14ac:dyDescent="0.2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2">
      <c r="A12" s="84" t="s">
        <v>14</v>
      </c>
      <c r="B12" s="85"/>
      <c r="C12" s="14"/>
      <c r="D12" s="86" t="s">
        <v>15</v>
      </c>
      <c r="E12" s="86"/>
      <c r="F12" s="87"/>
      <c r="G12" s="2">
        <v>0.5</v>
      </c>
      <c r="H12" s="3">
        <v>0.56597222222222221</v>
      </c>
      <c r="I12" s="4">
        <f>H12-G12</f>
        <v>6.597222222222221E-2</v>
      </c>
      <c r="J12" s="84">
        <v>44852</v>
      </c>
      <c r="K12" s="85"/>
      <c r="L12" s="14"/>
      <c r="M12" s="81" t="s">
        <v>16</v>
      </c>
      <c r="N12" s="81"/>
      <c r="O12" s="82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80" t="s">
        <v>17</v>
      </c>
      <c r="B13" s="74"/>
      <c r="C13" s="7"/>
      <c r="D13" s="81" t="s">
        <v>18</v>
      </c>
      <c r="E13" s="81"/>
      <c r="F13" s="82"/>
      <c r="G13" s="5">
        <v>0.53125</v>
      </c>
      <c r="H13" s="6">
        <v>0.64236111111111105</v>
      </c>
      <c r="I13" s="4">
        <f>H13-G13</f>
        <v>0.11111111111111105</v>
      </c>
      <c r="J13" s="80">
        <v>44853</v>
      </c>
      <c r="K13" s="74"/>
      <c r="L13" s="7"/>
      <c r="M13" s="81" t="s">
        <v>19</v>
      </c>
      <c r="N13" s="81"/>
      <c r="O13" s="82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80" t="s">
        <v>17</v>
      </c>
      <c r="B14" s="74"/>
      <c r="C14" s="7"/>
      <c r="D14" s="81" t="s">
        <v>20</v>
      </c>
      <c r="E14" s="81"/>
      <c r="F14" s="82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80">
        <v>44853</v>
      </c>
      <c r="K14" s="74"/>
      <c r="L14" s="17"/>
      <c r="M14" s="81" t="s">
        <v>21</v>
      </c>
      <c r="N14" s="81"/>
      <c r="O14" s="82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80" t="s">
        <v>22</v>
      </c>
      <c r="B15" s="74"/>
      <c r="C15" s="7"/>
      <c r="D15" s="81" t="s">
        <v>23</v>
      </c>
      <c r="E15" s="81"/>
      <c r="F15" s="82"/>
      <c r="G15" s="5">
        <v>0.33333333333333331</v>
      </c>
      <c r="H15" s="6">
        <v>0.4513888888888889</v>
      </c>
      <c r="I15" s="4">
        <f t="shared" si="0"/>
        <v>0.11805555555555558</v>
      </c>
      <c r="J15" s="80">
        <v>44854</v>
      </c>
      <c r="K15" s="74"/>
      <c r="L15" s="7"/>
      <c r="M15" s="81" t="s">
        <v>24</v>
      </c>
      <c r="N15" s="81"/>
      <c r="O15" s="82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80" t="s">
        <v>25</v>
      </c>
      <c r="B16" s="74"/>
      <c r="C16" s="7"/>
      <c r="D16" s="81" t="s">
        <v>26</v>
      </c>
      <c r="E16" s="81"/>
      <c r="F16" s="82"/>
      <c r="G16" s="5">
        <v>0.36805555555555558</v>
      </c>
      <c r="H16" s="6">
        <v>0.4513888888888889</v>
      </c>
      <c r="I16" s="4">
        <f t="shared" si="0"/>
        <v>8.3333333333333315E-2</v>
      </c>
      <c r="J16" s="80">
        <v>44855</v>
      </c>
      <c r="K16" s="83"/>
      <c r="L16" s="7"/>
      <c r="M16" s="81" t="s">
        <v>27</v>
      </c>
      <c r="N16" s="81"/>
      <c r="O16" s="82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80" t="s">
        <v>28</v>
      </c>
      <c r="B17" s="74"/>
      <c r="C17" s="7"/>
      <c r="D17" s="81" t="s">
        <v>29</v>
      </c>
      <c r="E17" s="81"/>
      <c r="F17" s="82"/>
      <c r="G17" s="5">
        <v>0.77083333333333337</v>
      </c>
      <c r="H17" s="6">
        <v>0.85416666666666663</v>
      </c>
      <c r="I17" s="4">
        <f t="shared" si="0"/>
        <v>8.3333333333333259E-2</v>
      </c>
      <c r="J17" s="80">
        <v>44877</v>
      </c>
      <c r="K17" s="74"/>
      <c r="L17" s="7"/>
      <c r="M17" s="81" t="s">
        <v>30</v>
      </c>
      <c r="N17" s="81"/>
      <c r="O17" s="82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80" t="s">
        <v>28</v>
      </c>
      <c r="B18" s="74"/>
      <c r="C18" s="7"/>
      <c r="D18" s="81" t="s">
        <v>31</v>
      </c>
      <c r="E18" s="81"/>
      <c r="F18" s="82"/>
      <c r="G18" s="5">
        <v>0.85416666666666663</v>
      </c>
      <c r="H18" s="6">
        <v>0.89583333333333337</v>
      </c>
      <c r="I18" s="4">
        <f t="shared" si="0"/>
        <v>4.1666666666666741E-2</v>
      </c>
      <c r="J18" s="80">
        <v>44846</v>
      </c>
      <c r="K18" s="74"/>
      <c r="L18" s="7"/>
      <c r="M18" s="81" t="s">
        <v>32</v>
      </c>
      <c r="N18" s="81"/>
      <c r="O18" s="82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80">
        <v>44878</v>
      </c>
      <c r="B19" s="74"/>
      <c r="C19" s="7"/>
      <c r="D19" s="81" t="s">
        <v>33</v>
      </c>
      <c r="E19" s="81"/>
      <c r="F19" s="82"/>
      <c r="G19" s="5">
        <v>0.33333333333333331</v>
      </c>
      <c r="H19" s="6">
        <v>0.48958333333333331</v>
      </c>
      <c r="I19" s="4">
        <f t="shared" si="0"/>
        <v>0.15625</v>
      </c>
      <c r="J19" s="80">
        <v>44878</v>
      </c>
      <c r="K19" s="74"/>
      <c r="L19" s="7"/>
      <c r="M19" s="81" t="s">
        <v>34</v>
      </c>
      <c r="N19" s="81"/>
      <c r="O19" s="82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80" t="s">
        <v>35</v>
      </c>
      <c r="B20" s="74"/>
      <c r="C20" s="7"/>
      <c r="D20" s="81" t="s">
        <v>36</v>
      </c>
      <c r="E20" s="81"/>
      <c r="F20" s="82"/>
      <c r="G20" s="5">
        <v>0.41666666666666669</v>
      </c>
      <c r="H20" s="6">
        <v>0.5</v>
      </c>
      <c r="I20" s="4">
        <f t="shared" si="0"/>
        <v>8.3333333333333315E-2</v>
      </c>
      <c r="J20" s="80">
        <v>44879</v>
      </c>
      <c r="K20" s="74"/>
      <c r="L20" s="7"/>
      <c r="M20" s="81" t="s">
        <v>37</v>
      </c>
      <c r="N20" s="81"/>
      <c r="O20" s="82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80" t="s">
        <v>39</v>
      </c>
      <c r="B21" s="74"/>
      <c r="C21" s="7"/>
      <c r="D21" s="81" t="s">
        <v>40</v>
      </c>
      <c r="E21" s="81"/>
      <c r="F21" s="82"/>
      <c r="G21" s="5">
        <v>0.36805555555555558</v>
      </c>
      <c r="H21" s="6">
        <v>0.44722222222222219</v>
      </c>
      <c r="I21" s="4">
        <f t="shared" si="0"/>
        <v>7.9166666666666607E-2</v>
      </c>
      <c r="J21" s="80"/>
      <c r="K21" s="74"/>
      <c r="L21" s="7"/>
      <c r="M21" s="74"/>
      <c r="N21" s="74"/>
      <c r="O21" s="75"/>
      <c r="P21" s="5"/>
      <c r="Q21" s="6"/>
      <c r="R21" s="4">
        <f t="shared" si="1"/>
        <v>0</v>
      </c>
    </row>
    <row r="22" spans="1:18" x14ac:dyDescent="0.2">
      <c r="A22" s="80" t="s">
        <v>39</v>
      </c>
      <c r="B22" s="74"/>
      <c r="C22" s="7"/>
      <c r="D22" s="74" t="s">
        <v>47</v>
      </c>
      <c r="E22" s="74"/>
      <c r="F22" s="75"/>
      <c r="G22" s="5">
        <v>0.45833333333333331</v>
      </c>
      <c r="H22" s="6">
        <v>0.47916666666666669</v>
      </c>
      <c r="I22" s="4">
        <f t="shared" si="0"/>
        <v>2.083333333333337E-2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2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2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2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2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2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73"/>
      <c r="K27" s="74"/>
      <c r="L27" s="7"/>
      <c r="M27" s="74"/>
      <c r="N27" s="74"/>
      <c r="O27" s="75"/>
      <c r="P27" s="7"/>
      <c r="Q27" s="8"/>
      <c r="R27" s="4">
        <f t="shared" si="1"/>
        <v>0</v>
      </c>
    </row>
    <row r="28" spans="1:18" x14ac:dyDescent="0.2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2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2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2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2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2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2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2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2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2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2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2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2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2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8"/>
      <c r="K41" s="79"/>
      <c r="L41" s="7"/>
      <c r="M41" s="74"/>
      <c r="N41" s="74"/>
      <c r="O41" s="75"/>
      <c r="P41" s="9"/>
      <c r="Q41" s="1"/>
      <c r="R41" s="4">
        <f>Q41-P41</f>
        <v>0</v>
      </c>
    </row>
    <row r="42" spans="1:18" x14ac:dyDescent="0.2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3"/>
      <c r="K42" s="74"/>
      <c r="L42" s="7"/>
      <c r="M42" s="74"/>
      <c r="N42" s="74"/>
      <c r="O42" s="75"/>
      <c r="P42" s="7"/>
      <c r="Q42" s="8"/>
      <c r="R42" s="4">
        <f t="shared" ref="R42:R49" si="2">Q42-P42</f>
        <v>0</v>
      </c>
    </row>
    <row r="43" spans="1:18" x14ac:dyDescent="0.2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si="2"/>
        <v>0</v>
      </c>
    </row>
    <row r="44" spans="1:18" x14ac:dyDescent="0.2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2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2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2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2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6" thickBot="1" x14ac:dyDescent="0.2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10"/>
      <c r="M49" s="74"/>
      <c r="N49" s="74"/>
      <c r="O49" s="75"/>
      <c r="P49" s="7"/>
      <c r="Q49" s="8"/>
      <c r="R49" s="4">
        <f t="shared" si="2"/>
        <v>0</v>
      </c>
    </row>
    <row r="50" spans="1:18" ht="16" thickBot="1" x14ac:dyDescent="0.2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0.87777777777777743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0.68888888888888866</v>
      </c>
    </row>
    <row r="51" spans="1:18" ht="16" thickTop="1" x14ac:dyDescent="0.2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D22" sqref="D22:F22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112" t="s">
        <v>48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6" thickBot="1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6" thickTop="1" x14ac:dyDescent="0.2">
      <c r="A3" s="115" t="s">
        <v>6</v>
      </c>
      <c r="B3" s="116"/>
      <c r="C3" s="117" t="s">
        <v>49</v>
      </c>
      <c r="D3" s="118"/>
      <c r="E3" s="118"/>
      <c r="F3" s="118"/>
      <c r="G3" s="118"/>
      <c r="H3" s="118"/>
      <c r="I3" s="119"/>
      <c r="J3" s="115" t="s">
        <v>6</v>
      </c>
      <c r="K3" s="116"/>
      <c r="L3" s="117" t="s">
        <v>49</v>
      </c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2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2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6" thickBot="1" x14ac:dyDescent="0.2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6" thickBot="1" x14ac:dyDescent="0.2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6" thickTop="1" x14ac:dyDescent="0.2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2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2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6" thickBot="1" x14ac:dyDescent="0.2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2">
      <c r="A12" s="84" t="s">
        <v>50</v>
      </c>
      <c r="B12" s="85"/>
      <c r="C12" s="14"/>
      <c r="D12" s="86" t="s">
        <v>51</v>
      </c>
      <c r="E12" s="86"/>
      <c r="F12" s="87"/>
      <c r="G12" s="2">
        <v>0.33333333333333331</v>
      </c>
      <c r="H12" s="3">
        <v>0.5</v>
      </c>
      <c r="I12" s="4">
        <f>H12-G12</f>
        <v>0.16666666666666669</v>
      </c>
      <c r="J12" s="80">
        <v>44881</v>
      </c>
      <c r="K12" s="74"/>
      <c r="L12" s="14"/>
      <c r="M12" s="125" t="s">
        <v>64</v>
      </c>
      <c r="N12" s="125"/>
      <c r="O12" s="126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80">
        <v>44881</v>
      </c>
      <c r="B13" s="74"/>
      <c r="C13" s="7"/>
      <c r="D13" s="81" t="s">
        <v>52</v>
      </c>
      <c r="E13" s="81"/>
      <c r="F13" s="82"/>
      <c r="G13" s="5">
        <v>0.6166666666666667</v>
      </c>
      <c r="H13" s="6">
        <v>0.71597222222222223</v>
      </c>
      <c r="I13" s="20">
        <f>H13-G13</f>
        <v>9.9305555555555536E-2</v>
      </c>
      <c r="J13" s="80">
        <v>44891</v>
      </c>
      <c r="K13" s="75"/>
      <c r="M13" s="125" t="s">
        <v>66</v>
      </c>
      <c r="N13" s="125"/>
      <c r="O13" s="126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80" t="s">
        <v>53</v>
      </c>
      <c r="B14" s="74"/>
      <c r="C14" s="7"/>
      <c r="D14" s="81" t="s">
        <v>54</v>
      </c>
      <c r="E14" s="81"/>
      <c r="F14" s="82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80">
        <v>44892</v>
      </c>
      <c r="K14" s="75"/>
      <c r="M14" s="125" t="s">
        <v>65</v>
      </c>
      <c r="N14" s="125"/>
      <c r="O14" s="126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80" t="s">
        <v>53</v>
      </c>
      <c r="B15" s="74"/>
      <c r="C15" s="7"/>
      <c r="D15" s="81" t="s">
        <v>55</v>
      </c>
      <c r="E15" s="81"/>
      <c r="F15" s="82"/>
      <c r="G15" s="5">
        <v>0.53611111111111109</v>
      </c>
      <c r="H15" s="6">
        <v>0.56597222222222221</v>
      </c>
      <c r="I15" s="4">
        <f t="shared" si="0"/>
        <v>2.9861111111111116E-2</v>
      </c>
      <c r="J15" s="80">
        <v>44893</v>
      </c>
      <c r="K15" s="75"/>
      <c r="L15" s="22"/>
      <c r="M15" s="125" t="s">
        <v>63</v>
      </c>
      <c r="N15" s="125"/>
      <c r="O15" s="126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80" t="s">
        <v>53</v>
      </c>
      <c r="B16" s="74"/>
      <c r="C16" s="7"/>
      <c r="D16" s="81" t="s">
        <v>56</v>
      </c>
      <c r="E16" s="81"/>
      <c r="F16" s="82"/>
      <c r="G16" s="5">
        <v>0.56944444444444442</v>
      </c>
      <c r="H16" s="6">
        <v>0.60902777777777783</v>
      </c>
      <c r="I16" s="4">
        <f t="shared" si="0"/>
        <v>3.9583333333333415E-2</v>
      </c>
      <c r="J16" s="80">
        <v>44893</v>
      </c>
      <c r="K16" s="75"/>
      <c r="L16" s="22"/>
      <c r="M16" s="125" t="s">
        <v>69</v>
      </c>
      <c r="N16" s="125"/>
      <c r="O16" s="126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80" t="s">
        <v>57</v>
      </c>
      <c r="B17" s="74"/>
      <c r="C17" s="7"/>
      <c r="D17" s="81" t="s">
        <v>58</v>
      </c>
      <c r="E17" s="81"/>
      <c r="F17" s="82"/>
      <c r="G17" s="5">
        <v>0.5</v>
      </c>
      <c r="H17" s="6">
        <v>0.53819444444444442</v>
      </c>
      <c r="I17" s="4">
        <f t="shared" si="0"/>
        <v>3.819444444444442E-2</v>
      </c>
      <c r="J17" s="80"/>
      <c r="K17" s="74"/>
      <c r="L17" s="7"/>
      <c r="M17" s="81"/>
      <c r="N17" s="81"/>
      <c r="O17" s="82"/>
      <c r="P17" s="5"/>
      <c r="Q17" s="6"/>
      <c r="R17" s="4">
        <f>Q17-P17</f>
        <v>0</v>
      </c>
    </row>
    <row r="18" spans="1:18" x14ac:dyDescent="0.2">
      <c r="A18" s="80" t="s">
        <v>59</v>
      </c>
      <c r="B18" s="74"/>
      <c r="C18" s="7"/>
      <c r="D18" s="81" t="s">
        <v>60</v>
      </c>
      <c r="E18" s="81"/>
      <c r="F18" s="82"/>
      <c r="G18" s="5">
        <v>0.58333333333333337</v>
      </c>
      <c r="H18" s="6">
        <v>0.66875000000000007</v>
      </c>
      <c r="I18" s="4">
        <f t="shared" si="0"/>
        <v>8.5416666666666696E-2</v>
      </c>
      <c r="J18" s="80"/>
      <c r="K18" s="74"/>
      <c r="L18" s="7"/>
      <c r="M18" s="81"/>
      <c r="N18" s="81"/>
      <c r="O18" s="82"/>
      <c r="P18" s="5"/>
      <c r="Q18" s="6"/>
      <c r="R18" s="4">
        <f t="shared" si="1"/>
        <v>0</v>
      </c>
    </row>
    <row r="19" spans="1:18" x14ac:dyDescent="0.2">
      <c r="A19" s="80" t="s">
        <v>61</v>
      </c>
      <c r="B19" s="74"/>
      <c r="C19" s="7"/>
      <c r="D19" s="81" t="s">
        <v>62</v>
      </c>
      <c r="E19" s="81"/>
      <c r="F19" s="82"/>
      <c r="G19" s="5">
        <v>0.41666666666666669</v>
      </c>
      <c r="H19" s="6">
        <v>0.55486111111111114</v>
      </c>
      <c r="I19" s="4">
        <f t="shared" si="0"/>
        <v>0.13819444444444445</v>
      </c>
      <c r="J19" s="80"/>
      <c r="K19" s="74"/>
      <c r="L19" s="7"/>
      <c r="M19" s="81"/>
      <c r="N19" s="81"/>
      <c r="O19" s="82"/>
      <c r="P19" s="5"/>
      <c r="Q19" s="6"/>
      <c r="R19" s="4">
        <f t="shared" si="1"/>
        <v>0</v>
      </c>
    </row>
    <row r="20" spans="1:18" x14ac:dyDescent="0.2">
      <c r="A20" s="80" t="s">
        <v>67</v>
      </c>
      <c r="B20" s="74"/>
      <c r="C20" s="7"/>
      <c r="D20" s="81" t="s">
        <v>68</v>
      </c>
      <c r="E20" s="81"/>
      <c r="F20" s="82"/>
      <c r="G20" s="5">
        <v>0.33333333333333331</v>
      </c>
      <c r="H20" s="6">
        <v>0.4375</v>
      </c>
      <c r="I20" s="4">
        <f t="shared" si="0"/>
        <v>0.10416666666666669</v>
      </c>
      <c r="J20" s="80"/>
      <c r="K20" s="74"/>
      <c r="L20" s="7"/>
      <c r="M20" s="81"/>
      <c r="N20" s="81"/>
      <c r="O20" s="82"/>
      <c r="P20" s="5"/>
      <c r="Q20" s="6"/>
      <c r="R20" s="4">
        <f>Q20-P20</f>
        <v>0</v>
      </c>
    </row>
    <row r="21" spans="1:18" x14ac:dyDescent="0.2">
      <c r="A21" s="80" t="s">
        <v>67</v>
      </c>
      <c r="B21" s="74"/>
      <c r="C21" s="7"/>
      <c r="D21" s="81" t="s">
        <v>70</v>
      </c>
      <c r="E21" s="81"/>
      <c r="F21" s="82"/>
      <c r="G21" s="5">
        <v>0.44791666666666669</v>
      </c>
      <c r="H21" s="6">
        <v>0.48958333333333331</v>
      </c>
      <c r="I21" s="4">
        <f t="shared" si="0"/>
        <v>4.166666666666663E-2</v>
      </c>
      <c r="J21" s="80"/>
      <c r="K21" s="74"/>
      <c r="L21" s="7"/>
      <c r="M21" s="81"/>
      <c r="N21" s="81"/>
      <c r="O21" s="82"/>
      <c r="P21" s="5"/>
      <c r="Q21" s="6"/>
      <c r="R21" s="4">
        <f t="shared" si="1"/>
        <v>0</v>
      </c>
    </row>
    <row r="22" spans="1:18" x14ac:dyDescent="0.2">
      <c r="A22" s="80"/>
      <c r="B22" s="74"/>
      <c r="C22" s="7"/>
      <c r="D22" s="74"/>
      <c r="E22" s="74"/>
      <c r="F22" s="75"/>
      <c r="G22" s="5"/>
      <c r="H22" s="6"/>
      <c r="I22" s="4">
        <f t="shared" si="0"/>
        <v>0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2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2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2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2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2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80"/>
      <c r="K27" s="74"/>
      <c r="L27" s="7"/>
      <c r="M27" s="74"/>
      <c r="N27" s="74"/>
      <c r="O27" s="75"/>
      <c r="P27" s="5"/>
      <c r="Q27" s="6"/>
      <c r="R27" s="4">
        <f t="shared" si="1"/>
        <v>0</v>
      </c>
    </row>
    <row r="28" spans="1:18" x14ac:dyDescent="0.2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2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2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2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2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2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2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2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2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2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2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2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2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2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3"/>
      <c r="K41" s="74"/>
      <c r="L41" s="7"/>
      <c r="M41" s="74"/>
      <c r="N41" s="74"/>
      <c r="O41" s="75"/>
      <c r="P41" s="7"/>
      <c r="Q41" s="8"/>
      <c r="R41" s="4">
        <f t="shared" si="1"/>
        <v>0</v>
      </c>
    </row>
    <row r="42" spans="1:18" x14ac:dyDescent="0.2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8"/>
      <c r="K42" s="79"/>
      <c r="L42" s="7"/>
      <c r="M42" s="74"/>
      <c r="N42" s="74"/>
      <c r="O42" s="75"/>
      <c r="P42" s="9"/>
      <c r="Q42" s="1"/>
      <c r="R42" s="4">
        <f>Q42-P42</f>
        <v>0</v>
      </c>
    </row>
    <row r="43" spans="1:18" x14ac:dyDescent="0.2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ref="R43:R49" si="2">Q43-P43</f>
        <v>0</v>
      </c>
    </row>
    <row r="44" spans="1:18" x14ac:dyDescent="0.2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2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2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2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2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6" thickBot="1" x14ac:dyDescent="0.2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7"/>
      <c r="M49" s="74"/>
      <c r="N49" s="74"/>
      <c r="O49" s="75"/>
      <c r="P49" s="7"/>
      <c r="Q49" s="8"/>
      <c r="R49" s="4">
        <f t="shared" si="2"/>
        <v>0</v>
      </c>
    </row>
    <row r="50" spans="1:18" ht="16" thickBot="1" x14ac:dyDescent="0.2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0.80347222222222248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0.43055555555555552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Übersich_DATA</vt:lpstr>
      <vt:lpstr>Sprint_DATA</vt:lpstr>
      <vt:lpstr>Sheet1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2022-12-08T21:26:31Z</dcterms:modified>
  <cp:category/>
  <cp:contentStatus/>
</cp:coreProperties>
</file>