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08" documentId="13_ncr:1_{91B1872F-A974-EC4D-8E7E-7F1E99E9E627}" xr6:coauthVersionLast="47" xr6:coauthVersionMax="47" xr10:uidLastSave="{164986F0-CEDF-4A2D-93C0-3C52C5EE387D}"/>
  <bookViews>
    <workbookView xWindow="-108" yWindow="-108" windowWidth="23256" windowHeight="12576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17" i="2"/>
  <c r="A30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2" l="1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3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<sst xmlns="http://schemas.openxmlformats.org/spreadsheetml/2006/main" count="280" uniqueCount="106">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</sst>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4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28"/>
      <c r="B1" s="29"/>
      <c r="C1" s="29"/>
      <c r="D1" s="29"/>
      <c r="E1" s="29"/>
      <c r="F1" s="29"/>
      <c r="G1" s="29"/>
      <c r="H1" s="29"/>
      <c r="I1" s="30"/>
    </row>
    <row r="2" spans="1:9" ht="15" thickBot="1" x14ac:dyDescent="0.35">
      <c r="A2" s="31"/>
      <c r="B2" s="32"/>
      <c r="C2" s="32"/>
      <c r="D2" s="32"/>
      <c r="E2" s="32"/>
      <c r="F2" s="32"/>
      <c r="G2" s="32"/>
      <c r="H2" s="32"/>
      <c r="I2" s="33"/>
    </row>
    <row r="3" spans="1:9" ht="15" thickBot="1" x14ac:dyDescent="0.3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5.6" thickTop="1" thickBot="1" x14ac:dyDescent="0.35">
      <c r="A4" s="37">
        <f>D9+D12</f>
        <v>1.566666666666666</v>
      </c>
      <c r="B4" s="38"/>
      <c r="C4" s="38"/>
      <c r="D4" s="38"/>
      <c r="E4" s="38"/>
      <c r="F4" s="38"/>
      <c r="G4" s="38"/>
      <c r="H4" s="38"/>
      <c r="I4" s="39"/>
    </row>
    <row r="5" spans="1:9" ht="15" thickBot="1" x14ac:dyDescent="0.35">
      <c r="A5" s="40"/>
      <c r="B5" s="41"/>
      <c r="C5" s="41"/>
      <c r="D5" s="41"/>
      <c r="E5" s="41"/>
      <c r="F5" s="41"/>
      <c r="G5" s="41"/>
      <c r="H5" s="41"/>
      <c r="I5" s="42"/>
    </row>
    <row r="6" spans="1:9" ht="15" thickBot="1" x14ac:dyDescent="0.3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5" thickTop="1" x14ac:dyDescent="0.3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3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3">
      <c r="A9" s="49" t="s">
        <v>4</v>
      </c>
      <c r="B9" s="50"/>
      <c r="C9" s="51"/>
      <c r="D9" s="52">
        <f>'Sprint 1'!I50</f>
        <v>0.87777777777777743</v>
      </c>
      <c r="E9" s="53"/>
      <c r="F9" s="53"/>
      <c r="G9" s="53"/>
      <c r="H9" s="53"/>
      <c r="I9" s="54"/>
    </row>
    <row r="10" spans="1:9" ht="15" thickBot="1" x14ac:dyDescent="0.3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3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5" thickBot="1" x14ac:dyDescent="0.35">
      <c r="A12" s="64" t="s">
        <v>4</v>
      </c>
      <c r="B12" s="65"/>
      <c r="C12" s="66"/>
      <c r="D12" s="67">
        <f>'Sprint 1'!R50</f>
        <v>0.68888888888888866</v>
      </c>
      <c r="E12" s="68"/>
      <c r="F12" s="68"/>
      <c r="G12" s="68"/>
      <c r="H12" s="68"/>
      <c r="I12" s="69"/>
    </row>
    <row r="13" spans="1:9" x14ac:dyDescent="0.3">
      <c r="A13" s="70"/>
      <c r="B13" s="70"/>
      <c r="C13" s="70"/>
      <c r="D13" s="70"/>
      <c r="E13" s="70"/>
      <c r="F13" s="70"/>
      <c r="G13" s="70"/>
      <c r="H13" s="70"/>
      <c r="I13" s="70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/>
      <c r="D3" s="86"/>
      <c r="E3" s="86"/>
      <c r="F3" s="86"/>
      <c r="G3" s="86"/>
      <c r="H3" s="86"/>
      <c r="I3" s="87"/>
      <c r="J3" s="83" t="s">
        <v>6</v>
      </c>
      <c r="K3" s="84"/>
      <c r="L3" s="85"/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/>
      <c r="K12" s="115"/>
      <c r="L12" s="14"/>
      <c r="M12" s="71"/>
      <c r="N12" s="71"/>
      <c r="O12" s="113"/>
      <c r="P12" s="2"/>
      <c r="Q12" s="3"/>
      <c r="R12" s="4">
        <f>Q12-P12</f>
        <v>0</v>
      </c>
    </row>
    <row r="13" spans="1:23" x14ac:dyDescent="0.3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3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3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3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/>
      <c r="K16" s="118"/>
      <c r="L16" s="7"/>
      <c r="M16" s="71"/>
      <c r="N16" s="71"/>
      <c r="O16" s="113"/>
      <c r="P16" s="5"/>
      <c r="Q16" s="6"/>
      <c r="R16" s="4">
        <f>Q16-P16</f>
        <v>0</v>
      </c>
    </row>
    <row r="17" spans="1:18" x14ac:dyDescent="0.3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62"/>
  <sheetViews>
    <sheetView tabSelected="1" zoomScale="85" zoomScaleNormal="85" workbookViewId="0">
      <selection activeCell="L10" sqref="L10"/>
    </sheetView>
  </sheetViews>
  <sheetFormatPr baseColWidth="10" defaultColWidth="8.77734375" defaultRowHeight="14.4" x14ac:dyDescent="0.3"/>
  <sheetData>
    <row r="1" spans="1:9" ht="14.4" customHeight="1" x14ac:dyDescent="0.3">
      <c r="A1" s="28" t="s">
        <v>86</v>
      </c>
      <c r="B1" s="29"/>
      <c r="C1" s="29"/>
      <c r="D1" s="29"/>
      <c r="E1" s="29"/>
      <c r="F1" s="29"/>
      <c r="G1" s="29"/>
      <c r="H1" s="29"/>
      <c r="I1" s="30"/>
    </row>
    <row r="2" spans="1:9" ht="15" customHeight="1" thickBot="1" x14ac:dyDescent="0.35">
      <c r="A2" s="31"/>
      <c r="B2" s="32"/>
      <c r="C2" s="32"/>
      <c r="D2" s="32"/>
      <c r="E2" s="32"/>
      <c r="F2" s="32"/>
      <c r="G2" s="32"/>
      <c r="H2" s="32"/>
      <c r="I2" s="33"/>
    </row>
    <row r="3" spans="1:9" ht="15" thickBot="1" x14ac:dyDescent="0.3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5.6" thickTop="1" thickBot="1" x14ac:dyDescent="0.35">
      <c r="A4" s="37">
        <f>D9+D12</f>
        <v>1.3069444444444445</v>
      </c>
      <c r="B4" s="38"/>
      <c r="C4" s="38"/>
      <c r="D4" s="38"/>
      <c r="E4" s="38"/>
      <c r="F4" s="38"/>
      <c r="G4" s="38"/>
      <c r="H4" s="38"/>
      <c r="I4" s="39"/>
    </row>
    <row r="5" spans="1:9" ht="15" thickBot="1" x14ac:dyDescent="0.35">
      <c r="A5" s="40"/>
      <c r="B5" s="41"/>
      <c r="C5" s="41"/>
      <c r="D5" s="41"/>
      <c r="E5" s="41"/>
      <c r="F5" s="41"/>
      <c r="G5" s="41"/>
      <c r="H5" s="41"/>
      <c r="I5" s="42"/>
    </row>
    <row r="6" spans="1:9" ht="15" thickBot="1" x14ac:dyDescent="0.3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5" thickTop="1" x14ac:dyDescent="0.3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3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3">
      <c r="A9" s="49" t="s">
        <v>4</v>
      </c>
      <c r="B9" s="50"/>
      <c r="C9" s="51"/>
      <c r="D9" s="52">
        <v>0.70277777777777772</v>
      </c>
      <c r="E9" s="53"/>
      <c r="F9" s="53"/>
      <c r="G9" s="53"/>
      <c r="H9" s="53"/>
      <c r="I9" s="54"/>
    </row>
    <row r="10" spans="1:9" ht="15" thickBot="1" x14ac:dyDescent="0.3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3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5" thickBot="1" x14ac:dyDescent="0.35">
      <c r="A12" s="64" t="s">
        <v>4</v>
      </c>
      <c r="B12" s="65"/>
      <c r="C12" s="66"/>
      <c r="D12" s="67">
        <v>0.60416666666666674</v>
      </c>
      <c r="E12" s="68"/>
      <c r="F12" s="68"/>
      <c r="G12" s="68"/>
      <c r="H12" s="68"/>
      <c r="I12" s="69"/>
    </row>
    <row r="13" spans="1:9" ht="15" thickBot="1" x14ac:dyDescent="0.35">
      <c r="A13" s="70"/>
      <c r="B13" s="70"/>
      <c r="C13" s="70"/>
      <c r="D13" s="70"/>
      <c r="E13" s="70"/>
      <c r="F13" s="70"/>
      <c r="G13" s="70"/>
      <c r="H13" s="70"/>
      <c r="I13" s="70"/>
    </row>
    <row r="14" spans="1:9" ht="14.4" customHeight="1" x14ac:dyDescent="0.3">
      <c r="A14" s="28" t="s">
        <v>71</v>
      </c>
      <c r="B14" s="29"/>
      <c r="C14" s="29"/>
      <c r="D14" s="29"/>
      <c r="E14" s="29"/>
      <c r="F14" s="29"/>
      <c r="G14" s="29"/>
      <c r="H14" s="29"/>
      <c r="I14" s="30"/>
    </row>
    <row r="15" spans="1:9" ht="15" customHeight="1" thickBot="1" x14ac:dyDescent="0.35">
      <c r="A15" s="31"/>
      <c r="B15" s="32"/>
      <c r="C15" s="32"/>
      <c r="D15" s="32"/>
      <c r="E15" s="32"/>
      <c r="F15" s="32"/>
      <c r="G15" s="32"/>
      <c r="H15" s="32"/>
      <c r="I15" s="33"/>
    </row>
    <row r="16" spans="1:9" ht="15" thickBot="1" x14ac:dyDescent="0.35">
      <c r="A16" s="34" t="s">
        <v>45</v>
      </c>
      <c r="B16" s="35"/>
      <c r="C16" s="35"/>
      <c r="D16" s="35"/>
      <c r="E16" s="35"/>
      <c r="F16" s="35"/>
      <c r="G16" s="35"/>
      <c r="H16" s="35"/>
      <c r="I16" s="36"/>
    </row>
    <row r="17" spans="1:9" ht="15.6" thickTop="1" thickBot="1" x14ac:dyDescent="0.35">
      <c r="A17" s="37">
        <f>D22+D25</f>
        <v>0.97916666666666652</v>
      </c>
      <c r="B17" s="38"/>
      <c r="C17" s="38"/>
      <c r="D17" s="38"/>
      <c r="E17" s="38"/>
      <c r="F17" s="38"/>
      <c r="G17" s="38"/>
      <c r="H17" s="38"/>
      <c r="I17" s="39"/>
    </row>
    <row r="18" spans="1:9" ht="15" thickBot="1" x14ac:dyDescent="0.35">
      <c r="A18" s="40"/>
      <c r="B18" s="41"/>
      <c r="C18" s="41"/>
      <c r="D18" s="41"/>
      <c r="E18" s="41"/>
      <c r="F18" s="41"/>
      <c r="G18" s="41"/>
      <c r="H18" s="41"/>
      <c r="I18" s="42"/>
    </row>
    <row r="19" spans="1:9" ht="15" thickBot="1" x14ac:dyDescent="0.35">
      <c r="A19" s="34" t="s">
        <v>1</v>
      </c>
      <c r="B19" s="35"/>
      <c r="C19" s="35"/>
      <c r="D19" s="35"/>
      <c r="E19" s="35"/>
      <c r="F19" s="35"/>
      <c r="G19" s="35"/>
      <c r="H19" s="35"/>
      <c r="I19" s="36"/>
    </row>
    <row r="20" spans="1:9" ht="15" thickTop="1" x14ac:dyDescent="0.3">
      <c r="A20" s="25"/>
      <c r="B20" s="26"/>
      <c r="C20" s="27"/>
      <c r="D20" s="25"/>
      <c r="E20" s="26"/>
      <c r="F20" s="26"/>
      <c r="G20" s="26"/>
      <c r="H20" s="26"/>
      <c r="I20" s="27"/>
    </row>
    <row r="21" spans="1:9" x14ac:dyDescent="0.3">
      <c r="A21" s="43" t="s">
        <v>2</v>
      </c>
      <c r="B21" s="44"/>
      <c r="C21" s="45"/>
      <c r="D21" s="46" t="s">
        <v>3</v>
      </c>
      <c r="E21" s="47"/>
      <c r="F21" s="47"/>
      <c r="G21" s="47"/>
      <c r="H21" s="47"/>
      <c r="I21" s="48"/>
    </row>
    <row r="22" spans="1:9" x14ac:dyDescent="0.3">
      <c r="A22" s="49" t="s">
        <v>4</v>
      </c>
      <c r="B22" s="50"/>
      <c r="C22" s="51"/>
      <c r="D22" s="52">
        <v>0.51388888888888884</v>
      </c>
      <c r="E22" s="53"/>
      <c r="F22" s="53"/>
      <c r="G22" s="53"/>
      <c r="H22" s="53"/>
      <c r="I22" s="54"/>
    </row>
    <row r="23" spans="1:9" ht="15" thickBot="1" x14ac:dyDescent="0.35">
      <c r="A23" s="55"/>
      <c r="B23" s="56"/>
      <c r="C23" s="57"/>
      <c r="D23" s="55"/>
      <c r="E23" s="56"/>
      <c r="F23" s="56"/>
      <c r="G23" s="56"/>
      <c r="H23" s="56"/>
      <c r="I23" s="57"/>
    </row>
    <row r="24" spans="1:9" x14ac:dyDescent="0.3">
      <c r="A24" s="58" t="s">
        <v>2</v>
      </c>
      <c r="B24" s="59"/>
      <c r="C24" s="60"/>
      <c r="D24" s="61" t="s">
        <v>5</v>
      </c>
      <c r="E24" s="62"/>
      <c r="F24" s="62"/>
      <c r="G24" s="62"/>
      <c r="H24" s="62"/>
      <c r="I24" s="63"/>
    </row>
    <row r="25" spans="1:9" ht="15" thickBot="1" x14ac:dyDescent="0.35">
      <c r="A25" s="64" t="s">
        <v>4</v>
      </c>
      <c r="B25" s="65"/>
      <c r="C25" s="66"/>
      <c r="D25" s="67">
        <v>0.46527777777777773</v>
      </c>
      <c r="E25" s="68"/>
      <c r="F25" s="68"/>
      <c r="G25" s="68"/>
      <c r="H25" s="68"/>
      <c r="I25" s="69"/>
    </row>
    <row r="26" spans="1:9" ht="15" thickBot="1" x14ac:dyDescent="0.35">
      <c r="A26" s="70"/>
      <c r="B26" s="70"/>
      <c r="C26" s="70"/>
      <c r="D26" s="70"/>
      <c r="E26" s="70"/>
      <c r="F26" s="70"/>
      <c r="G26" s="70"/>
      <c r="H26" s="70"/>
      <c r="I26" s="70"/>
    </row>
    <row r="27" spans="1:9" ht="14.55" customHeight="1" x14ac:dyDescent="0.3">
      <c r="A27" s="28" t="s">
        <v>48</v>
      </c>
      <c r="B27" s="29"/>
      <c r="C27" s="29"/>
      <c r="D27" s="29"/>
      <c r="E27" s="29"/>
      <c r="F27" s="29"/>
      <c r="G27" s="29"/>
      <c r="H27" s="29"/>
      <c r="I27" s="30"/>
    </row>
    <row r="28" spans="1:9" ht="15" customHeight="1" thickBot="1" x14ac:dyDescent="0.35">
      <c r="A28" s="31"/>
      <c r="B28" s="32"/>
      <c r="C28" s="32"/>
      <c r="D28" s="32"/>
      <c r="E28" s="32"/>
      <c r="F28" s="32"/>
      <c r="G28" s="32"/>
      <c r="H28" s="32"/>
      <c r="I28" s="33"/>
    </row>
    <row r="29" spans="1:9" ht="15" thickBot="1" x14ac:dyDescent="0.35">
      <c r="A29" s="34" t="s">
        <v>45</v>
      </c>
      <c r="B29" s="35"/>
      <c r="C29" s="35"/>
      <c r="D29" s="35"/>
      <c r="E29" s="35"/>
      <c r="F29" s="35"/>
      <c r="G29" s="35"/>
      <c r="H29" s="35"/>
      <c r="I29" s="36"/>
    </row>
    <row r="30" spans="1:9" ht="15.6" thickTop="1" thickBot="1" x14ac:dyDescent="0.35">
      <c r="A30" s="37">
        <f>D35+D38</f>
        <v>1.2340277777777779</v>
      </c>
      <c r="B30" s="38"/>
      <c r="C30" s="38"/>
      <c r="D30" s="38"/>
      <c r="E30" s="38"/>
      <c r="F30" s="38"/>
      <c r="G30" s="38"/>
      <c r="H30" s="38"/>
      <c r="I30" s="39"/>
    </row>
    <row r="31" spans="1:9" ht="15" thickBot="1" x14ac:dyDescent="0.35">
      <c r="A31" s="40"/>
      <c r="B31" s="41"/>
      <c r="C31" s="41"/>
      <c r="D31" s="41"/>
      <c r="E31" s="41"/>
      <c r="F31" s="41"/>
      <c r="G31" s="41"/>
      <c r="H31" s="41"/>
      <c r="I31" s="42"/>
    </row>
    <row r="32" spans="1:9" ht="15" thickBot="1" x14ac:dyDescent="0.35">
      <c r="A32" s="34" t="s">
        <v>1</v>
      </c>
      <c r="B32" s="35"/>
      <c r="C32" s="35"/>
      <c r="D32" s="35"/>
      <c r="E32" s="35"/>
      <c r="F32" s="35"/>
      <c r="G32" s="35"/>
      <c r="H32" s="35"/>
      <c r="I32" s="36"/>
    </row>
    <row r="33" spans="1:9" ht="15" thickTop="1" x14ac:dyDescent="0.3">
      <c r="A33" s="25"/>
      <c r="B33" s="26"/>
      <c r="C33" s="27"/>
      <c r="D33" s="25"/>
      <c r="E33" s="26"/>
      <c r="F33" s="26"/>
      <c r="G33" s="26"/>
      <c r="H33" s="26"/>
      <c r="I33" s="27"/>
    </row>
    <row r="34" spans="1:9" x14ac:dyDescent="0.3">
      <c r="A34" s="43" t="s">
        <v>2</v>
      </c>
      <c r="B34" s="44"/>
      <c r="C34" s="45"/>
      <c r="D34" s="46" t="s">
        <v>3</v>
      </c>
      <c r="E34" s="47"/>
      <c r="F34" s="47"/>
      <c r="G34" s="47"/>
      <c r="H34" s="47"/>
      <c r="I34" s="48"/>
    </row>
    <row r="35" spans="1:9" x14ac:dyDescent="0.3">
      <c r="A35" s="49" t="s">
        <v>4</v>
      </c>
      <c r="B35" s="50"/>
      <c r="C35" s="51"/>
      <c r="D35" s="52">
        <v>0.80347222222222248</v>
      </c>
      <c r="E35" s="53"/>
      <c r="F35" s="53"/>
      <c r="G35" s="53"/>
      <c r="H35" s="53"/>
      <c r="I35" s="54"/>
    </row>
    <row r="36" spans="1:9" ht="15" thickBot="1" x14ac:dyDescent="0.35">
      <c r="A36" s="55"/>
      <c r="B36" s="56"/>
      <c r="C36" s="57"/>
      <c r="D36" s="55"/>
      <c r="E36" s="56"/>
      <c r="F36" s="56"/>
      <c r="G36" s="56"/>
      <c r="H36" s="56"/>
      <c r="I36" s="57"/>
    </row>
    <row r="37" spans="1:9" x14ac:dyDescent="0.3">
      <c r="A37" s="58" t="s">
        <v>2</v>
      </c>
      <c r="B37" s="59"/>
      <c r="C37" s="60"/>
      <c r="D37" s="61" t="s">
        <v>5</v>
      </c>
      <c r="E37" s="62"/>
      <c r="F37" s="62"/>
      <c r="G37" s="62"/>
      <c r="H37" s="62"/>
      <c r="I37" s="63"/>
    </row>
    <row r="38" spans="1:9" ht="15" thickBot="1" x14ac:dyDescent="0.35">
      <c r="A38" s="64" t="s">
        <v>4</v>
      </c>
      <c r="B38" s="65"/>
      <c r="C38" s="66"/>
      <c r="D38" s="67">
        <v>0.43055555555555552</v>
      </c>
      <c r="E38" s="68"/>
      <c r="F38" s="68"/>
      <c r="G38" s="68"/>
      <c r="H38" s="68"/>
      <c r="I38" s="69"/>
    </row>
    <row r="39" spans="1:9" ht="15" thickBot="1" x14ac:dyDescent="0.35">
      <c r="A39" s="70"/>
      <c r="B39" s="70"/>
      <c r="C39" s="70"/>
      <c r="D39" s="70"/>
      <c r="E39" s="70"/>
      <c r="F39" s="70"/>
      <c r="G39" s="70"/>
      <c r="H39" s="70"/>
      <c r="I39" s="70"/>
    </row>
    <row r="40" spans="1:9" ht="14.55" customHeight="1" x14ac:dyDescent="0.3">
      <c r="A40" s="28" t="s">
        <v>0</v>
      </c>
      <c r="B40" s="29"/>
      <c r="C40" s="29"/>
      <c r="D40" s="29"/>
      <c r="E40" s="29"/>
      <c r="F40" s="29"/>
      <c r="G40" s="29"/>
      <c r="H40" s="29"/>
      <c r="I40" s="30"/>
    </row>
    <row r="41" spans="1:9" ht="15" customHeight="1" thickBot="1" x14ac:dyDescent="0.35">
      <c r="A41" s="31"/>
      <c r="B41" s="32"/>
      <c r="C41" s="32"/>
      <c r="D41" s="32"/>
      <c r="E41" s="32"/>
      <c r="F41" s="32"/>
      <c r="G41" s="32"/>
      <c r="H41" s="32"/>
      <c r="I41" s="33"/>
    </row>
    <row r="42" spans="1:9" ht="15" thickBot="1" x14ac:dyDescent="0.35">
      <c r="A42" s="34" t="s">
        <v>45</v>
      </c>
      <c r="B42" s="35"/>
      <c r="C42" s="35"/>
      <c r="D42" s="35"/>
      <c r="E42" s="35"/>
      <c r="F42" s="35"/>
      <c r="G42" s="35"/>
      <c r="H42" s="35"/>
      <c r="I42" s="36"/>
    </row>
    <row r="43" spans="1:9" ht="15.6" thickTop="1" thickBot="1" x14ac:dyDescent="0.35">
      <c r="A43" s="37">
        <f>D48+D51</f>
        <v>1.566666666666666</v>
      </c>
      <c r="B43" s="38"/>
      <c r="C43" s="38"/>
      <c r="D43" s="38"/>
      <c r="E43" s="38"/>
      <c r="F43" s="38"/>
      <c r="G43" s="38"/>
      <c r="H43" s="38"/>
      <c r="I43" s="39"/>
    </row>
    <row r="44" spans="1:9" ht="15" thickBot="1" x14ac:dyDescent="0.35">
      <c r="A44" s="40"/>
      <c r="B44" s="41"/>
      <c r="C44" s="41"/>
      <c r="D44" s="41"/>
      <c r="E44" s="41"/>
      <c r="F44" s="41"/>
      <c r="G44" s="41"/>
      <c r="H44" s="41"/>
      <c r="I44" s="42"/>
    </row>
    <row r="45" spans="1:9" ht="15" thickBot="1" x14ac:dyDescent="0.35">
      <c r="A45" s="34" t="s">
        <v>1</v>
      </c>
      <c r="B45" s="35"/>
      <c r="C45" s="35"/>
      <c r="D45" s="35"/>
      <c r="E45" s="35"/>
      <c r="F45" s="35"/>
      <c r="G45" s="35"/>
      <c r="H45" s="35"/>
      <c r="I45" s="36"/>
    </row>
    <row r="46" spans="1:9" ht="15" thickTop="1" x14ac:dyDescent="0.3">
      <c r="A46" s="25"/>
      <c r="B46" s="26"/>
      <c r="C46" s="27"/>
      <c r="D46" s="25"/>
      <c r="E46" s="26"/>
      <c r="F46" s="26"/>
      <c r="G46" s="26"/>
      <c r="H46" s="26"/>
      <c r="I46" s="27"/>
    </row>
    <row r="47" spans="1:9" x14ac:dyDescent="0.3">
      <c r="A47" s="43" t="s">
        <v>2</v>
      </c>
      <c r="B47" s="44"/>
      <c r="C47" s="45"/>
      <c r="D47" s="46" t="s">
        <v>3</v>
      </c>
      <c r="E47" s="47"/>
      <c r="F47" s="47"/>
      <c r="G47" s="47"/>
      <c r="H47" s="47"/>
      <c r="I47" s="48"/>
    </row>
    <row r="48" spans="1:9" x14ac:dyDescent="0.3">
      <c r="A48" s="49" t="s">
        <v>4</v>
      </c>
      <c r="B48" s="50"/>
      <c r="C48" s="51"/>
      <c r="D48" s="52">
        <v>0.87777777777777743</v>
      </c>
      <c r="E48" s="53"/>
      <c r="F48" s="53"/>
      <c r="G48" s="53"/>
      <c r="H48" s="53"/>
      <c r="I48" s="54"/>
    </row>
    <row r="49" spans="1:9" ht="15" thickBot="1" x14ac:dyDescent="0.35">
      <c r="A49" s="55"/>
      <c r="B49" s="56"/>
      <c r="C49" s="57"/>
      <c r="D49" s="55"/>
      <c r="E49" s="56"/>
      <c r="F49" s="56"/>
      <c r="G49" s="56"/>
      <c r="H49" s="56"/>
      <c r="I49" s="57"/>
    </row>
    <row r="50" spans="1:9" x14ac:dyDescent="0.3">
      <c r="A50" s="58" t="s">
        <v>2</v>
      </c>
      <c r="B50" s="59"/>
      <c r="C50" s="60"/>
      <c r="D50" s="61" t="s">
        <v>5</v>
      </c>
      <c r="E50" s="62"/>
      <c r="F50" s="62"/>
      <c r="G50" s="62"/>
      <c r="H50" s="62"/>
      <c r="I50" s="63"/>
    </row>
    <row r="51" spans="1:9" ht="15" thickBot="1" x14ac:dyDescent="0.35">
      <c r="A51" s="64" t="s">
        <v>4</v>
      </c>
      <c r="B51" s="65"/>
      <c r="C51" s="66"/>
      <c r="D51" s="67">
        <v>0.68888888888888866</v>
      </c>
      <c r="E51" s="68"/>
      <c r="F51" s="68"/>
      <c r="G51" s="68"/>
      <c r="H51" s="68"/>
      <c r="I51" s="69"/>
    </row>
    <row r="52" spans="1:9" x14ac:dyDescent="0.3">
      <c r="A52" s="70"/>
      <c r="B52" s="70"/>
      <c r="C52" s="70"/>
      <c r="D52" s="70"/>
      <c r="E52" s="70"/>
      <c r="F52" s="70"/>
      <c r="G52" s="70"/>
      <c r="H52" s="70"/>
      <c r="I52" s="70"/>
    </row>
    <row r="53" spans="1:9" ht="14.55" customHeight="1" x14ac:dyDescent="0.3"/>
    <row r="54" spans="1:9" ht="15" customHeight="1" x14ac:dyDescent="0.3"/>
    <row r="66" ht="15" customHeight="1" x14ac:dyDescent="0.3"/>
    <row r="67" ht="15.75" customHeight="1" x14ac:dyDescent="0.3"/>
    <row r="79" ht="15" customHeight="1" x14ac:dyDescent="0.3"/>
    <row r="80" ht="15.7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35" ht="14.55" customHeight="1" x14ac:dyDescent="0.3"/>
    <row r="236" ht="15" customHeight="1" x14ac:dyDescent="0.3"/>
    <row r="248" ht="14.55" customHeight="1" x14ac:dyDescent="0.3"/>
    <row r="249" ht="15" customHeight="1" x14ac:dyDescent="0.3"/>
    <row r="261" ht="14.55" customHeight="1" x14ac:dyDescent="0.3"/>
    <row r="262" ht="15" customHeight="1" x14ac:dyDescent="0.3"/>
  </sheetData>
  <mergeCells count="72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46:C46"/>
    <mergeCell ref="D46:I46"/>
    <mergeCell ref="A40:I41"/>
    <mergeCell ref="A42:I42"/>
    <mergeCell ref="A43:I43"/>
    <mergeCell ref="A44:I44"/>
    <mergeCell ref="A45:I45"/>
    <mergeCell ref="A47:C47"/>
    <mergeCell ref="D47:I47"/>
    <mergeCell ref="A48:C48"/>
    <mergeCell ref="D48:I48"/>
    <mergeCell ref="A49:C49"/>
    <mergeCell ref="D49:I49"/>
    <mergeCell ref="A50:C50"/>
    <mergeCell ref="D50:I50"/>
    <mergeCell ref="A51:C51"/>
    <mergeCell ref="D51:I51"/>
    <mergeCell ref="A52:I52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D38:I38"/>
    <mergeCell ref="A14:I15"/>
    <mergeCell ref="A16:I16"/>
    <mergeCell ref="A17:I17"/>
    <mergeCell ref="A18:I18"/>
    <mergeCell ref="A19:I19"/>
    <mergeCell ref="A20:C20"/>
    <mergeCell ref="D20:I20"/>
    <mergeCell ref="A21:C21"/>
    <mergeCell ref="D21:I21"/>
    <mergeCell ref="A22:C22"/>
    <mergeCell ref="D22:I22"/>
    <mergeCell ref="A26:I26"/>
    <mergeCell ref="A23:C23"/>
    <mergeCell ref="D23:I23"/>
    <mergeCell ref="A24:C24"/>
    <mergeCell ref="D24:I24"/>
    <mergeCell ref="A25:C25"/>
    <mergeCell ref="D25:I25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</row>
    <row r="2" spans="1:9" x14ac:dyDescent="0.3">
      <c r="A2" s="80"/>
      <c r="B2" s="80"/>
      <c r="C2" s="80"/>
      <c r="D2" s="80"/>
      <c r="E2" s="80"/>
      <c r="F2" s="80"/>
      <c r="G2" s="80"/>
      <c r="H2" s="80"/>
      <c r="I2" s="80"/>
    </row>
    <row r="3" spans="1:9" x14ac:dyDescent="0.3">
      <c r="A3" s="81"/>
      <c r="B3" s="81"/>
      <c r="C3" s="81"/>
      <c r="D3" s="81"/>
      <c r="E3" s="81"/>
      <c r="F3" s="81"/>
      <c r="G3" s="81"/>
      <c r="H3" s="81"/>
      <c r="I3" s="81"/>
    </row>
    <row r="4" spans="1:9" x14ac:dyDescent="0.3">
      <c r="A4" s="81"/>
      <c r="B4" s="81"/>
      <c r="C4" s="81"/>
      <c r="D4" s="81"/>
      <c r="E4" s="81"/>
      <c r="F4" s="81"/>
      <c r="G4" s="81"/>
      <c r="H4" s="81"/>
      <c r="I4" s="81"/>
    </row>
    <row r="5" spans="1:9" x14ac:dyDescent="0.3">
      <c r="A5" s="81"/>
      <c r="B5" s="81"/>
      <c r="C5" s="81"/>
      <c r="D5" s="81"/>
      <c r="E5" s="81"/>
      <c r="F5" s="81"/>
      <c r="G5" s="81"/>
      <c r="H5" s="81"/>
      <c r="I5" s="81"/>
    </row>
    <row r="6" spans="1:9" x14ac:dyDescent="0.3">
      <c r="A6" s="81"/>
      <c r="B6" s="81"/>
      <c r="C6" s="81"/>
      <c r="D6" s="81"/>
      <c r="E6" s="81"/>
      <c r="F6" s="81"/>
      <c r="G6" s="81"/>
      <c r="H6" s="81"/>
      <c r="I6" s="81"/>
    </row>
    <row r="7" spans="1:9" x14ac:dyDescent="0.3">
      <c r="A7" s="81"/>
      <c r="B7" s="81"/>
      <c r="C7" s="81"/>
      <c r="D7" s="81"/>
      <c r="E7" s="81"/>
      <c r="F7" s="81"/>
      <c r="G7" s="81"/>
      <c r="H7" s="81"/>
      <c r="I7" s="81"/>
    </row>
    <row r="8" spans="1:9" x14ac:dyDescent="0.3">
      <c r="A8" s="81"/>
      <c r="B8" s="81"/>
      <c r="C8" s="81"/>
      <c r="D8" s="81"/>
      <c r="E8" s="81"/>
      <c r="F8" s="81"/>
      <c r="G8" s="81"/>
      <c r="H8" s="81"/>
      <c r="I8" s="81"/>
    </row>
    <row r="9" spans="1:9" x14ac:dyDescent="0.3">
      <c r="A9" s="81"/>
      <c r="B9" s="81"/>
      <c r="C9" s="81"/>
      <c r="D9" s="81"/>
      <c r="E9" s="81"/>
      <c r="F9" s="81"/>
      <c r="G9" s="81"/>
      <c r="H9" s="81"/>
      <c r="I9" s="81"/>
    </row>
    <row r="10" spans="1:9" x14ac:dyDescent="0.3">
      <c r="A10" s="81"/>
      <c r="B10" s="81"/>
      <c r="C10" s="81"/>
      <c r="D10" s="81"/>
      <c r="E10" s="81"/>
      <c r="F10" s="81"/>
      <c r="G10" s="81"/>
      <c r="H10" s="81"/>
      <c r="I10" s="81"/>
    </row>
    <row r="11" spans="1:9" x14ac:dyDescent="0.3">
      <c r="A11" s="81"/>
      <c r="B11" s="81"/>
      <c r="C11" s="81"/>
      <c r="D11" s="81"/>
      <c r="E11" s="81"/>
      <c r="F11" s="81"/>
      <c r="G11" s="81"/>
      <c r="H11" s="81"/>
      <c r="I11" s="81"/>
    </row>
    <row r="12" spans="1:9" x14ac:dyDescent="0.3">
      <c r="A12" s="81"/>
      <c r="B12" s="81"/>
      <c r="C12" s="81"/>
      <c r="D12" s="81"/>
      <c r="E12" s="81"/>
      <c r="F12" s="81"/>
      <c r="G12" s="81"/>
      <c r="H12" s="81"/>
      <c r="I12" s="81"/>
    </row>
    <row r="13" spans="1:9" x14ac:dyDescent="0.3">
      <c r="A13" s="81"/>
      <c r="B13" s="81"/>
      <c r="C13" s="81"/>
      <c r="D13" s="81"/>
      <c r="E13" s="81"/>
      <c r="F13" s="81"/>
      <c r="G13" s="81"/>
      <c r="H13" s="81"/>
      <c r="I13" s="81"/>
    </row>
    <row r="14" spans="1:9" x14ac:dyDescent="0.3">
      <c r="A14" s="81"/>
      <c r="B14" s="81"/>
      <c r="C14" s="81"/>
      <c r="D14" s="81"/>
      <c r="E14" s="81"/>
      <c r="F14" s="81"/>
      <c r="G14" s="81"/>
      <c r="H14" s="81"/>
      <c r="I14" s="81"/>
    </row>
    <row r="15" spans="1:9" x14ac:dyDescent="0.3">
      <c r="A15" s="81"/>
      <c r="B15" s="81"/>
      <c r="C15" s="81"/>
      <c r="D15" s="81"/>
      <c r="E15" s="81"/>
      <c r="F15" s="81"/>
      <c r="G15" s="81"/>
      <c r="H15" s="81"/>
      <c r="I15" s="81"/>
    </row>
    <row r="16" spans="1:9" x14ac:dyDescent="0.3">
      <c r="A16" s="81"/>
      <c r="B16" s="81"/>
      <c r="C16" s="81"/>
      <c r="D16" s="81"/>
      <c r="E16" s="81"/>
      <c r="F16" s="81"/>
      <c r="G16" s="81"/>
      <c r="H16" s="81"/>
      <c r="I16" s="81"/>
    </row>
    <row r="17" spans="1:9" x14ac:dyDescent="0.3">
      <c r="A17" s="81"/>
      <c r="B17" s="81"/>
      <c r="C17" s="81"/>
      <c r="D17" s="81"/>
      <c r="E17" s="81"/>
      <c r="F17" s="81"/>
      <c r="G17" s="81"/>
      <c r="H17" s="81"/>
      <c r="I17" s="81"/>
    </row>
    <row r="18" spans="1:9" x14ac:dyDescent="0.3">
      <c r="A18" s="81"/>
      <c r="B18" s="81"/>
      <c r="C18" s="81"/>
      <c r="D18" s="81"/>
      <c r="E18" s="81"/>
      <c r="F18" s="81"/>
      <c r="G18" s="81"/>
      <c r="H18" s="81"/>
      <c r="I18" s="81"/>
    </row>
    <row r="19" spans="1:9" x14ac:dyDescent="0.3">
      <c r="A19" s="81"/>
      <c r="B19" s="81"/>
      <c r="C19" s="81"/>
      <c r="D19" s="81"/>
      <c r="E19" s="81"/>
      <c r="F19" s="81"/>
      <c r="G19" s="81"/>
      <c r="H19" s="81"/>
      <c r="I19" s="81"/>
    </row>
    <row r="20" spans="1:9" x14ac:dyDescent="0.3">
      <c r="A20" s="81"/>
      <c r="B20" s="81"/>
      <c r="C20" s="81"/>
      <c r="D20" s="81"/>
      <c r="E20" s="81"/>
      <c r="F20" s="81"/>
      <c r="G20" s="81"/>
      <c r="H20" s="81"/>
      <c r="I20" s="81"/>
    </row>
    <row r="21" spans="1:9" x14ac:dyDescent="0.3">
      <c r="A21" s="81"/>
      <c r="B21" s="81"/>
      <c r="C21" s="81"/>
      <c r="D21" s="81"/>
      <c r="E21" s="81"/>
      <c r="F21" s="81"/>
      <c r="G21" s="81"/>
      <c r="H21" s="81"/>
      <c r="I21" s="81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42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41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14</v>
      </c>
      <c r="B12" s="115"/>
      <c r="C12" s="14"/>
      <c r="D12" s="116" t="s">
        <v>15</v>
      </c>
      <c r="E12" s="116"/>
      <c r="F12" s="117"/>
      <c r="G12" s="2">
        <v>0.5</v>
      </c>
      <c r="H12" s="3">
        <v>0.56597222222222221</v>
      </c>
      <c r="I12" s="4">
        <f>H12-G12</f>
        <v>6.597222222222221E-2</v>
      </c>
      <c r="J12" s="114">
        <v>44852</v>
      </c>
      <c r="K12" s="115"/>
      <c r="L12" s="14"/>
      <c r="M12" s="71" t="s">
        <v>16</v>
      </c>
      <c r="N12" s="71"/>
      <c r="O12" s="11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11" t="s">
        <v>17</v>
      </c>
      <c r="B13" s="112"/>
      <c r="C13" s="7"/>
      <c r="D13" s="71" t="s">
        <v>18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44853</v>
      </c>
      <c r="K13" s="112"/>
      <c r="L13" s="7"/>
      <c r="M13" s="71" t="s">
        <v>19</v>
      </c>
      <c r="N13" s="71"/>
      <c r="O13" s="11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11" t="s">
        <v>17</v>
      </c>
      <c r="B14" s="112"/>
      <c r="C14" s="7"/>
      <c r="D14" s="71" t="s">
        <v>20</v>
      </c>
      <c r="E14" s="71"/>
      <c r="F14" s="11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1">
        <v>44853</v>
      </c>
      <c r="K14" s="112"/>
      <c r="L14" s="17"/>
      <c r="M14" s="71" t="s">
        <v>21</v>
      </c>
      <c r="N14" s="71"/>
      <c r="O14" s="11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11" t="s">
        <v>22</v>
      </c>
      <c r="B15" s="112"/>
      <c r="C15" s="7"/>
      <c r="D15" s="71" t="s">
        <v>23</v>
      </c>
      <c r="E15" s="71"/>
      <c r="F15" s="113"/>
      <c r="G15" s="5">
        <v>0.33333333333333331</v>
      </c>
      <c r="H15" s="6">
        <v>0.4513888888888889</v>
      </c>
      <c r="I15" s="4">
        <f t="shared" si="0"/>
        <v>0.11805555555555558</v>
      </c>
      <c r="J15" s="111">
        <v>44854</v>
      </c>
      <c r="K15" s="112"/>
      <c r="L15" s="7"/>
      <c r="M15" s="71" t="s">
        <v>24</v>
      </c>
      <c r="N15" s="71"/>
      <c r="O15" s="11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11" t="s">
        <v>25</v>
      </c>
      <c r="B16" s="112"/>
      <c r="C16" s="7"/>
      <c r="D16" s="71" t="s">
        <v>26</v>
      </c>
      <c r="E16" s="71"/>
      <c r="F16" s="113"/>
      <c r="G16" s="5">
        <v>0.36805555555555558</v>
      </c>
      <c r="H16" s="6">
        <v>0.4513888888888889</v>
      </c>
      <c r="I16" s="4">
        <f t="shared" si="0"/>
        <v>8.3333333333333315E-2</v>
      </c>
      <c r="J16" s="111">
        <v>44855</v>
      </c>
      <c r="K16" s="118"/>
      <c r="L16" s="7"/>
      <c r="M16" s="71" t="s">
        <v>27</v>
      </c>
      <c r="N16" s="71"/>
      <c r="O16" s="11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11" t="s">
        <v>28</v>
      </c>
      <c r="B17" s="112"/>
      <c r="C17" s="7"/>
      <c r="D17" s="71" t="s">
        <v>29</v>
      </c>
      <c r="E17" s="71"/>
      <c r="F17" s="113"/>
      <c r="G17" s="5">
        <v>0.77083333333333337</v>
      </c>
      <c r="H17" s="6">
        <v>0.85416666666666663</v>
      </c>
      <c r="I17" s="4">
        <f t="shared" si="0"/>
        <v>8.3333333333333259E-2</v>
      </c>
      <c r="J17" s="111">
        <v>44877</v>
      </c>
      <c r="K17" s="112"/>
      <c r="L17" s="7"/>
      <c r="M17" s="71" t="s">
        <v>30</v>
      </c>
      <c r="N17" s="71"/>
      <c r="O17" s="11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11" t="s">
        <v>28</v>
      </c>
      <c r="B18" s="112"/>
      <c r="C18" s="7"/>
      <c r="D18" s="71" t="s">
        <v>31</v>
      </c>
      <c r="E18" s="71"/>
      <c r="F18" s="113"/>
      <c r="G18" s="5">
        <v>0.85416666666666663</v>
      </c>
      <c r="H18" s="6">
        <v>0.89583333333333337</v>
      </c>
      <c r="I18" s="4">
        <f t="shared" si="0"/>
        <v>4.1666666666666741E-2</v>
      </c>
      <c r="J18" s="111">
        <v>44846</v>
      </c>
      <c r="K18" s="112"/>
      <c r="L18" s="7"/>
      <c r="M18" s="71" t="s">
        <v>32</v>
      </c>
      <c r="N18" s="71"/>
      <c r="O18" s="11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11">
        <v>44878</v>
      </c>
      <c r="B19" s="112"/>
      <c r="C19" s="7"/>
      <c r="D19" s="71" t="s">
        <v>33</v>
      </c>
      <c r="E19" s="71"/>
      <c r="F19" s="113"/>
      <c r="G19" s="5">
        <v>0.33333333333333331</v>
      </c>
      <c r="H19" s="6">
        <v>0.48958333333333331</v>
      </c>
      <c r="I19" s="4">
        <f t="shared" si="0"/>
        <v>0.15625</v>
      </c>
      <c r="J19" s="111">
        <v>44878</v>
      </c>
      <c r="K19" s="112"/>
      <c r="L19" s="7"/>
      <c r="M19" s="71" t="s">
        <v>34</v>
      </c>
      <c r="N19" s="71"/>
      <c r="O19" s="11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11" t="s">
        <v>35</v>
      </c>
      <c r="B20" s="112"/>
      <c r="C20" s="7"/>
      <c r="D20" s="71" t="s">
        <v>36</v>
      </c>
      <c r="E20" s="71"/>
      <c r="F20" s="113"/>
      <c r="G20" s="5">
        <v>0.41666666666666669</v>
      </c>
      <c r="H20" s="6">
        <v>0.5</v>
      </c>
      <c r="I20" s="4">
        <f t="shared" si="0"/>
        <v>8.3333333333333315E-2</v>
      </c>
      <c r="J20" s="111">
        <v>44879</v>
      </c>
      <c r="K20" s="112"/>
      <c r="L20" s="7"/>
      <c r="M20" s="71" t="s">
        <v>37</v>
      </c>
      <c r="N20" s="71"/>
      <c r="O20" s="11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11" t="s">
        <v>39</v>
      </c>
      <c r="B21" s="112"/>
      <c r="C21" s="7"/>
      <c r="D21" s="71" t="s">
        <v>40</v>
      </c>
      <c r="E21" s="71"/>
      <c r="F21" s="113"/>
      <c r="G21" s="5">
        <v>0.36805555555555558</v>
      </c>
      <c r="H21" s="6">
        <v>0.44722222222222219</v>
      </c>
      <c r="I21" s="4">
        <f t="shared" si="0"/>
        <v>7.9166666666666607E-2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 t="s">
        <v>39</v>
      </c>
      <c r="B22" s="112"/>
      <c r="C22" s="7"/>
      <c r="D22" s="112" t="s">
        <v>47</v>
      </c>
      <c r="E22" s="112"/>
      <c r="F22" s="119"/>
      <c r="G22" s="5">
        <v>0.45833333333333331</v>
      </c>
      <c r="H22" s="6">
        <v>0.47916666666666669</v>
      </c>
      <c r="I22" s="4">
        <f t="shared" si="0"/>
        <v>2.083333333333337E-2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0.87777777777777743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80" t="s">
        <v>48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49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49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50</v>
      </c>
      <c r="B12" s="115"/>
      <c r="C12" s="14"/>
      <c r="D12" s="116" t="s">
        <v>51</v>
      </c>
      <c r="E12" s="116"/>
      <c r="F12" s="117"/>
      <c r="G12" s="2">
        <v>0.33333333333333331</v>
      </c>
      <c r="H12" s="3">
        <v>0.5</v>
      </c>
      <c r="I12" s="4">
        <f>H12-G12</f>
        <v>0.16666666666666669</v>
      </c>
      <c r="J12" s="111">
        <v>44881</v>
      </c>
      <c r="K12" s="112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11">
        <v>44881</v>
      </c>
      <c r="B13" s="112"/>
      <c r="C13" s="7"/>
      <c r="D13" s="71" t="s">
        <v>52</v>
      </c>
      <c r="E13" s="71"/>
      <c r="F13" s="113"/>
      <c r="G13" s="5">
        <v>0.6166666666666667</v>
      </c>
      <c r="H13" s="6">
        <v>0.71597222222222223</v>
      </c>
      <c r="I13" s="20">
        <f>H13-G13</f>
        <v>9.9305555555555536E-2</v>
      </c>
      <c r="J13" s="111">
        <v>44891</v>
      </c>
      <c r="K13" s="119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11" t="s">
        <v>53</v>
      </c>
      <c r="B14" s="112"/>
      <c r="C14" s="7"/>
      <c r="D14" s="71" t="s">
        <v>54</v>
      </c>
      <c r="E14" s="71"/>
      <c r="F14" s="11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1">
        <v>44892</v>
      </c>
      <c r="K14" s="119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11" t="s">
        <v>53</v>
      </c>
      <c r="B15" s="112"/>
      <c r="C15" s="7"/>
      <c r="D15" s="71" t="s">
        <v>55</v>
      </c>
      <c r="E15" s="71"/>
      <c r="F15" s="113"/>
      <c r="G15" s="5">
        <v>0.53611111111111109</v>
      </c>
      <c r="H15" s="6">
        <v>0.56597222222222221</v>
      </c>
      <c r="I15" s="4">
        <f t="shared" si="0"/>
        <v>2.9861111111111116E-2</v>
      </c>
      <c r="J15" s="111">
        <v>44893</v>
      </c>
      <c r="K15" s="119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11" t="s">
        <v>53</v>
      </c>
      <c r="B16" s="112"/>
      <c r="C16" s="7"/>
      <c r="D16" s="71" t="s">
        <v>56</v>
      </c>
      <c r="E16" s="71"/>
      <c r="F16" s="113"/>
      <c r="G16" s="5">
        <v>0.56944444444444442</v>
      </c>
      <c r="H16" s="6">
        <v>0.60902777777777783</v>
      </c>
      <c r="I16" s="4">
        <f t="shared" si="0"/>
        <v>3.9583333333333415E-2</v>
      </c>
      <c r="J16" s="111">
        <v>44893</v>
      </c>
      <c r="K16" s="119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11" t="s">
        <v>57</v>
      </c>
      <c r="B17" s="112"/>
      <c r="C17" s="7"/>
      <c r="D17" s="71" t="s">
        <v>58</v>
      </c>
      <c r="E17" s="71"/>
      <c r="F17" s="113"/>
      <c r="G17" s="5">
        <v>0.5</v>
      </c>
      <c r="H17" s="6">
        <v>0.53819444444444442</v>
      </c>
      <c r="I17" s="4">
        <f t="shared" si="0"/>
        <v>3.819444444444442E-2</v>
      </c>
      <c r="J17" s="111"/>
      <c r="K17" s="112"/>
      <c r="L17" s="7"/>
      <c r="M17" s="71"/>
      <c r="N17" s="71"/>
      <c r="O17" s="113"/>
      <c r="P17" s="5"/>
      <c r="Q17" s="6"/>
      <c r="R17" s="4">
        <f>Q17-P17</f>
        <v>0</v>
      </c>
    </row>
    <row r="18" spans="1:18" x14ac:dyDescent="0.3">
      <c r="A18" s="111" t="s">
        <v>59</v>
      </c>
      <c r="B18" s="112"/>
      <c r="C18" s="7"/>
      <c r="D18" s="71" t="s">
        <v>60</v>
      </c>
      <c r="E18" s="71"/>
      <c r="F18" s="113"/>
      <c r="G18" s="5">
        <v>0.58333333333333337</v>
      </c>
      <c r="H18" s="6">
        <v>0.66875000000000007</v>
      </c>
      <c r="I18" s="4">
        <f t="shared" si="0"/>
        <v>8.5416666666666696E-2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 t="s">
        <v>61</v>
      </c>
      <c r="B19" s="112"/>
      <c r="C19" s="7"/>
      <c r="D19" s="71" t="s">
        <v>62</v>
      </c>
      <c r="E19" s="71"/>
      <c r="F19" s="113"/>
      <c r="G19" s="5">
        <v>0.41666666666666669</v>
      </c>
      <c r="H19" s="6">
        <v>0.55486111111111114</v>
      </c>
      <c r="I19" s="4">
        <f t="shared" si="0"/>
        <v>0.13819444444444445</v>
      </c>
      <c r="J19" s="111"/>
      <c r="K19" s="112"/>
      <c r="L19" s="7"/>
      <c r="M19" s="71"/>
      <c r="N19" s="71"/>
      <c r="O19" s="113"/>
      <c r="P19" s="5"/>
      <c r="Q19" s="6"/>
      <c r="R19" s="4">
        <f t="shared" si="1"/>
        <v>0</v>
      </c>
    </row>
    <row r="20" spans="1:18" x14ac:dyDescent="0.3">
      <c r="A20" s="111" t="s">
        <v>67</v>
      </c>
      <c r="B20" s="112"/>
      <c r="C20" s="7"/>
      <c r="D20" s="71" t="s">
        <v>68</v>
      </c>
      <c r="E20" s="71"/>
      <c r="F20" s="113"/>
      <c r="G20" s="5">
        <v>0.33333333333333331</v>
      </c>
      <c r="H20" s="6">
        <v>0.4375</v>
      </c>
      <c r="I20" s="4">
        <f t="shared" si="0"/>
        <v>0.10416666666666669</v>
      </c>
      <c r="J20" s="111"/>
      <c r="K20" s="112"/>
      <c r="L20" s="7"/>
      <c r="M20" s="71"/>
      <c r="N20" s="71"/>
      <c r="O20" s="113"/>
      <c r="P20" s="5"/>
      <c r="Q20" s="6"/>
      <c r="R20" s="4">
        <f>Q20-P20</f>
        <v>0</v>
      </c>
    </row>
    <row r="21" spans="1:18" x14ac:dyDescent="0.3">
      <c r="A21" s="111" t="s">
        <v>67</v>
      </c>
      <c r="B21" s="112"/>
      <c r="C21" s="7"/>
      <c r="D21" s="71" t="s">
        <v>70</v>
      </c>
      <c r="E21" s="71"/>
      <c r="F21" s="113"/>
      <c r="G21" s="5">
        <v>0.44791666666666669</v>
      </c>
      <c r="H21" s="6">
        <v>0.48958333333333331</v>
      </c>
      <c r="I21" s="4">
        <f t="shared" si="0"/>
        <v>4.166666666666663E-2</v>
      </c>
      <c r="J21" s="111"/>
      <c r="K21" s="112"/>
      <c r="L21" s="7"/>
      <c r="M21" s="71"/>
      <c r="N21" s="71"/>
      <c r="O21" s="113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11"/>
      <c r="K27" s="112"/>
      <c r="L27" s="7"/>
      <c r="M27" s="112"/>
      <c r="N27" s="112"/>
      <c r="O27" s="119"/>
      <c r="P27" s="5"/>
      <c r="Q27" s="6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si="1"/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1"/>
      <c r="K42" s="122"/>
      <c r="L42" s="7"/>
      <c r="M42" s="112"/>
      <c r="N42" s="112"/>
      <c r="O42" s="119"/>
      <c r="P42" s="9"/>
      <c r="Q42" s="1"/>
      <c r="R42" s="4">
        <f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ref="R43:R49" si="2">Q43-P43</f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7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0.80347222222222248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71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85" t="s">
        <v>85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85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79</v>
      </c>
      <c r="B12" s="115"/>
      <c r="C12" s="14"/>
      <c r="D12" s="116" t="s">
        <v>80</v>
      </c>
      <c r="E12" s="116"/>
      <c r="F12" s="117"/>
      <c r="G12" s="23">
        <v>0.53125</v>
      </c>
      <c r="H12" s="3">
        <v>0.64236111111111105</v>
      </c>
      <c r="I12" s="4">
        <f>H12-G12</f>
        <v>0.11111111111111105</v>
      </c>
      <c r="J12" s="114">
        <v>44902</v>
      </c>
      <c r="K12" s="115"/>
      <c r="L12" s="14"/>
      <c r="M12" s="71" t="s">
        <v>72</v>
      </c>
      <c r="N12" s="71"/>
      <c r="O12" s="11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111" t="s">
        <v>78</v>
      </c>
      <c r="B13" s="112"/>
      <c r="C13" s="7"/>
      <c r="D13" s="71" t="s">
        <v>72</v>
      </c>
      <c r="E13" s="71"/>
      <c r="F13" s="113"/>
      <c r="G13" s="24">
        <v>0.375</v>
      </c>
      <c r="H13" s="6">
        <v>0.48958333333333331</v>
      </c>
      <c r="I13" s="4">
        <f>H13-G13</f>
        <v>0.11458333333333331</v>
      </c>
      <c r="J13" s="111">
        <v>44903</v>
      </c>
      <c r="K13" s="112"/>
      <c r="L13" s="7"/>
      <c r="M13" s="71" t="s">
        <v>73</v>
      </c>
      <c r="N13" s="71"/>
      <c r="O13" s="11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111" t="s">
        <v>82</v>
      </c>
      <c r="B14" s="112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1">
        <v>44903</v>
      </c>
      <c r="K14" s="112"/>
      <c r="L14" s="17"/>
      <c r="M14" s="71" t="s">
        <v>74</v>
      </c>
      <c r="N14" s="71"/>
      <c r="O14" s="11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111" t="s">
        <v>81</v>
      </c>
      <c r="B15" s="112"/>
      <c r="C15" s="7"/>
      <c r="D15" s="71" t="s">
        <v>84</v>
      </c>
      <c r="E15" s="71"/>
      <c r="F15" s="113"/>
      <c r="G15" s="5">
        <v>0.36805555555555558</v>
      </c>
      <c r="H15" s="6">
        <v>0.48958333333333331</v>
      </c>
      <c r="I15" s="4">
        <f t="shared" si="0"/>
        <v>0.12152777777777773</v>
      </c>
      <c r="J15" s="111">
        <v>44904</v>
      </c>
      <c r="K15" s="112"/>
      <c r="L15" s="7"/>
      <c r="M15" s="71" t="s">
        <v>75</v>
      </c>
      <c r="N15" s="71"/>
      <c r="O15" s="11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111" t="s">
        <v>81</v>
      </c>
      <c r="B16" s="112"/>
      <c r="C16" s="7"/>
      <c r="D16" s="71" t="s">
        <v>83</v>
      </c>
      <c r="E16" s="71"/>
      <c r="F16" s="113"/>
      <c r="G16" s="5">
        <v>0.75</v>
      </c>
      <c r="H16" s="6">
        <v>0.86458333333333337</v>
      </c>
      <c r="I16" s="4">
        <f t="shared" si="0"/>
        <v>0.11458333333333337</v>
      </c>
      <c r="J16" s="111">
        <v>44905</v>
      </c>
      <c r="K16" s="118"/>
      <c r="L16" s="7"/>
      <c r="M16" s="71" t="s">
        <v>76</v>
      </c>
      <c r="N16" s="71"/>
      <c r="O16" s="11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>
        <v>44906</v>
      </c>
      <c r="K17" s="112"/>
      <c r="L17" s="7"/>
      <c r="M17" s="71" t="s">
        <v>77</v>
      </c>
      <c r="N17" s="71"/>
      <c r="O17" s="11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0.51388888888888884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0.46527777777777773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topLeftCell="A16" zoomScale="70" zoomScaleNormal="70" workbookViewId="0">
      <selection activeCell="R50" sqref="R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80" t="s">
        <v>86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5" thickBot="1" x14ac:dyDescent="0.3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5" thickTop="1" x14ac:dyDescent="0.3">
      <c r="A3" s="83" t="s">
        <v>6</v>
      </c>
      <c r="B3" s="84"/>
      <c r="C3" s="131" t="s">
        <v>87</v>
      </c>
      <c r="D3" s="86"/>
      <c r="E3" s="86"/>
      <c r="F3" s="86"/>
      <c r="G3" s="86"/>
      <c r="H3" s="86"/>
      <c r="I3" s="87"/>
      <c r="J3" s="83" t="s">
        <v>6</v>
      </c>
      <c r="K3" s="84"/>
      <c r="L3" s="132" t="s">
        <v>87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3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3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5" thickBot="1" x14ac:dyDescent="0.3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5" thickBot="1" x14ac:dyDescent="0.3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5" thickTop="1" x14ac:dyDescent="0.3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3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3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5" thickBot="1" x14ac:dyDescent="0.3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3">
      <c r="A12" s="114" t="s">
        <v>99</v>
      </c>
      <c r="B12" s="133"/>
      <c r="C12" s="14"/>
      <c r="D12" s="116" t="s">
        <v>100</v>
      </c>
      <c r="E12" s="116"/>
      <c r="F12" s="117"/>
      <c r="G12" s="2">
        <v>0.8125</v>
      </c>
      <c r="H12" s="3">
        <v>0.83333333333333337</v>
      </c>
      <c r="I12" s="4">
        <f>H12-G12</f>
        <v>2.083333333333337E-2</v>
      </c>
      <c r="J12" s="114">
        <v>44944</v>
      </c>
      <c r="K12" s="115"/>
      <c r="L12" s="14"/>
      <c r="M12" s="71" t="s">
        <v>89</v>
      </c>
      <c r="N12" s="71"/>
      <c r="O12" s="11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111" t="s">
        <v>94</v>
      </c>
      <c r="B13" s="118"/>
      <c r="C13" s="7"/>
      <c r="D13" s="71" t="s">
        <v>101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44948</v>
      </c>
      <c r="K13" s="112"/>
      <c r="L13" s="7"/>
      <c r="M13" s="71" t="s">
        <v>91</v>
      </c>
      <c r="N13" s="71"/>
      <c r="O13" s="11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111" t="s">
        <v>95</v>
      </c>
      <c r="B14" s="118"/>
      <c r="C14" s="7"/>
      <c r="D14" s="71" t="s">
        <v>103</v>
      </c>
      <c r="E14" s="71"/>
      <c r="F14" s="113"/>
      <c r="G14" s="5">
        <v>0.58333333333333337</v>
      </c>
      <c r="H14" s="6">
        <v>0.77083333333333337</v>
      </c>
      <c r="I14" s="4">
        <f t="shared" ref="I14:I49" si="0">H14-G14</f>
        <v>0.1875</v>
      </c>
      <c r="J14" s="111">
        <v>44949</v>
      </c>
      <c r="K14" s="112"/>
      <c r="L14" s="7"/>
      <c r="M14" s="71" t="s">
        <v>90</v>
      </c>
      <c r="N14" s="71"/>
      <c r="O14" s="11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111" t="s">
        <v>96</v>
      </c>
      <c r="B15" s="118"/>
      <c r="C15" s="7"/>
      <c r="D15" s="71" t="s">
        <v>102</v>
      </c>
      <c r="E15" s="71"/>
      <c r="F15" s="113"/>
      <c r="G15" s="5">
        <v>0.41666666666666669</v>
      </c>
      <c r="H15" s="6">
        <v>0.52083333333333337</v>
      </c>
      <c r="I15" s="4">
        <f t="shared" si="0"/>
        <v>0.10416666666666669</v>
      </c>
      <c r="J15" s="111">
        <v>44949</v>
      </c>
      <c r="K15" s="118"/>
      <c r="L15" s="7"/>
      <c r="M15" s="71" t="s">
        <v>92</v>
      </c>
      <c r="N15" s="71"/>
      <c r="O15" s="11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111" t="s">
        <v>97</v>
      </c>
      <c r="B16" s="118"/>
      <c r="C16" s="7"/>
      <c r="D16" s="71" t="s">
        <v>104</v>
      </c>
      <c r="E16" s="71"/>
      <c r="F16" s="113"/>
      <c r="G16" s="5">
        <v>0.83333333333333337</v>
      </c>
      <c r="H16" s="6">
        <v>0.94930555555555562</v>
      </c>
      <c r="I16" s="4">
        <f t="shared" si="0"/>
        <v>0.11597222222222225</v>
      </c>
      <c r="J16" s="111">
        <v>44950</v>
      </c>
      <c r="K16" s="112"/>
      <c r="L16" s="7"/>
      <c r="M16" s="71" t="s">
        <v>93</v>
      </c>
      <c r="N16" s="71"/>
      <c r="O16" s="11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111" t="s">
        <v>98</v>
      </c>
      <c r="B17" s="112"/>
      <c r="C17" s="7"/>
      <c r="D17" s="71" t="s">
        <v>105</v>
      </c>
      <c r="E17" s="71"/>
      <c r="F17" s="113"/>
      <c r="G17" s="5">
        <v>0.36805555555555558</v>
      </c>
      <c r="H17" s="6">
        <v>0.53125</v>
      </c>
      <c r="I17" s="4">
        <f t="shared" si="0"/>
        <v>0.16319444444444442</v>
      </c>
      <c r="J17" s="111"/>
      <c r="K17" s="112"/>
      <c r="L17" s="7"/>
      <c r="M17" s="71"/>
      <c r="N17" s="71"/>
      <c r="O17" s="113"/>
      <c r="P17" s="5"/>
      <c r="Q17" s="6"/>
      <c r="R17" s="4">
        <v>0</v>
      </c>
    </row>
    <row r="18" spans="1:18" x14ac:dyDescent="0.3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 t="s">
        <v>88</v>
      </c>
      <c r="Q18" s="6"/>
      <c r="R18" s="4">
        <v>0</v>
      </c>
    </row>
    <row r="19" spans="1:18" x14ac:dyDescent="0.3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 t="shared" ref="R19:R38" si="1">Q19-P19</f>
        <v>0</v>
      </c>
    </row>
    <row r="20" spans="1:18" x14ac:dyDescent="0.3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112"/>
      <c r="N20" s="112"/>
      <c r="O20" s="119"/>
      <c r="P20" s="5"/>
      <c r="Q20" s="6"/>
      <c r="R20" s="4">
        <f t="shared" si="1"/>
        <v>0</v>
      </c>
    </row>
    <row r="21" spans="1:18" x14ac:dyDescent="0.3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3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3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3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3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3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20"/>
      <c r="K26" s="112"/>
      <c r="L26" s="7"/>
      <c r="M26" s="112"/>
      <c r="N26" s="112"/>
      <c r="O26" s="119"/>
      <c r="P26" s="7"/>
      <c r="Q26" s="8"/>
      <c r="R26" s="4">
        <f t="shared" si="1"/>
        <v>0</v>
      </c>
    </row>
    <row r="27" spans="1:18" x14ac:dyDescent="0.3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3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3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3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3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3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3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3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3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3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3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3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3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1"/>
      <c r="K39" s="122"/>
      <c r="L39" s="7"/>
      <c r="M39" s="112"/>
      <c r="N39" s="112"/>
      <c r="O39" s="119"/>
      <c r="P39" s="9"/>
      <c r="Q39" s="1"/>
      <c r="R39" s="4">
        <f>Q39-P39</f>
        <v>0</v>
      </c>
    </row>
    <row r="40" spans="1:18" x14ac:dyDescent="0.3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1"/>
      <c r="K40" s="122"/>
      <c r="L40" s="7"/>
      <c r="M40" s="112"/>
      <c r="N40" s="112"/>
      <c r="O40" s="119"/>
      <c r="P40" s="9"/>
      <c r="Q40" s="1"/>
      <c r="R40" s="4">
        <f>Q40-P40</f>
        <v>0</v>
      </c>
    </row>
    <row r="41" spans="1:18" x14ac:dyDescent="0.3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ref="R41:R49" si="2">Q41-P41</f>
        <v>0</v>
      </c>
    </row>
    <row r="42" spans="1:18" x14ac:dyDescent="0.3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si="2"/>
        <v>0</v>
      </c>
    </row>
    <row r="43" spans="1:18" x14ac:dyDescent="0.3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3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3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3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3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3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5" thickBot="1" x14ac:dyDescent="0.3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77"/>
      <c r="K49" s="78"/>
      <c r="L49" s="10"/>
      <c r="M49" s="112"/>
      <c r="N49" s="112"/>
      <c r="O49" s="119"/>
      <c r="P49" s="10"/>
      <c r="Q49" s="11"/>
      <c r="R49" s="12">
        <f t="shared" si="2"/>
        <v>0</v>
      </c>
    </row>
    <row r="50" spans="1:18" ht="15" thickBot="1" x14ac:dyDescent="0.3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0.70277777777777772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0.60416666666666674</v>
      </c>
    </row>
    <row r="51" spans="1:18" ht="15" thickTop="1" x14ac:dyDescent="0.3"/>
  </sheetData>
  <mergeCells count="189"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2023-01-24T11:48:05Z</dcterms:modified>
  <cp:category/>
  <cp:contentStatus/>
</cp:coreProperties>
</file>